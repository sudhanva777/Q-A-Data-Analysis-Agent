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8CB9271-76FB-41DA-9A67-ED1B6AF2BC5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Total Budget" sheetId="1" r:id="rId1"/>
    <sheet name="Marketing Budg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3" i="2" l="1"/>
  <c r="B177" i="2" s="1"/>
  <c r="B161" i="2" s="1"/>
  <c r="B145" i="2" s="1"/>
  <c r="B129" i="2" s="1"/>
  <c r="C146" i="2"/>
  <c r="C145" i="2"/>
  <c r="C129" i="2" s="1"/>
  <c r="C144" i="2"/>
  <c r="C143" i="2"/>
  <c r="C139" i="2"/>
  <c r="C138" i="2"/>
  <c r="C122" i="2" s="1"/>
  <c r="C137" i="2"/>
  <c r="C121" i="2" s="1"/>
  <c r="L42" i="1"/>
  <c r="K42" i="1"/>
  <c r="H38" i="1"/>
  <c r="H43" i="1" s="1"/>
  <c r="G38" i="1"/>
  <c r="G43" i="1" s="1"/>
  <c r="F38" i="1"/>
  <c r="F43" i="1" s="1"/>
  <c r="E38" i="1"/>
  <c r="E43" i="1" s="1"/>
  <c r="D38" i="1"/>
  <c r="D43" i="1" s="1"/>
  <c r="C38" i="1"/>
  <c r="C43" i="1" s="1"/>
  <c r="B38" i="1"/>
  <c r="B43" i="1" s="1"/>
  <c r="H32" i="1"/>
  <c r="G32" i="1"/>
  <c r="F32" i="1"/>
  <c r="E32" i="1"/>
  <c r="D32" i="1"/>
  <c r="C32" i="1"/>
  <c r="B32" i="1"/>
  <c r="H16" i="1"/>
  <c r="G16" i="1"/>
  <c r="F16" i="1"/>
  <c r="E16" i="1"/>
  <c r="D16" i="1"/>
  <c r="C16" i="1"/>
  <c r="B16" i="1"/>
  <c r="H8" i="1"/>
  <c r="G8" i="1"/>
  <c r="F8" i="1"/>
  <c r="E8" i="1"/>
  <c r="D8" i="1"/>
  <c r="C8" i="1"/>
  <c r="B8" i="1"/>
  <c r="L7" i="1"/>
  <c r="K7" i="1"/>
  <c r="F467" i="2"/>
  <c r="F466" i="2"/>
  <c r="F465" i="2"/>
  <c r="F464" i="2"/>
  <c r="F463" i="2"/>
  <c r="F462" i="2"/>
  <c r="F461" i="2"/>
  <c r="F460" i="2"/>
  <c r="F459" i="2"/>
  <c r="F458" i="2"/>
  <c r="F469" i="2" s="1"/>
  <c r="I41" i="1" s="1"/>
  <c r="J41" i="1" s="1"/>
  <c r="F451" i="2"/>
  <c r="F450" i="2"/>
  <c r="F449" i="2"/>
  <c r="F448" i="2"/>
  <c r="F447" i="2"/>
  <c r="F446" i="2"/>
  <c r="F445" i="2"/>
  <c r="F444" i="2"/>
  <c r="F443" i="2"/>
  <c r="F442" i="2"/>
  <c r="F453" i="2" s="1"/>
  <c r="I40" i="1" s="1"/>
  <c r="J40" i="1" s="1"/>
  <c r="F435" i="2"/>
  <c r="F434" i="2"/>
  <c r="F433" i="2"/>
  <c r="F432" i="2"/>
  <c r="F431" i="2"/>
  <c r="F430" i="2"/>
  <c r="F429" i="2"/>
  <c r="F428" i="2"/>
  <c r="F437" i="2" s="1"/>
  <c r="I39" i="1" s="1"/>
  <c r="J39" i="1" s="1"/>
  <c r="F427" i="2"/>
  <c r="F426" i="2"/>
  <c r="F419" i="2"/>
  <c r="D419" i="2"/>
  <c r="C419" i="2"/>
  <c r="B419" i="2"/>
  <c r="F418" i="2"/>
  <c r="D418" i="2"/>
  <c r="C418" i="2"/>
  <c r="B418" i="2"/>
  <c r="F417" i="2"/>
  <c r="D417" i="2"/>
  <c r="C417" i="2"/>
  <c r="B417" i="2"/>
  <c r="F416" i="2"/>
  <c r="D416" i="2"/>
  <c r="C416" i="2"/>
  <c r="B416" i="2"/>
  <c r="F415" i="2"/>
  <c r="D415" i="2"/>
  <c r="C415" i="2"/>
  <c r="B415" i="2"/>
  <c r="F414" i="2"/>
  <c r="D414" i="2"/>
  <c r="C414" i="2"/>
  <c r="B414" i="2"/>
  <c r="F413" i="2"/>
  <c r="D413" i="2"/>
  <c r="C413" i="2"/>
  <c r="B413" i="2"/>
  <c r="F412" i="2"/>
  <c r="D412" i="2"/>
  <c r="C412" i="2"/>
  <c r="B412" i="2"/>
  <c r="F411" i="2"/>
  <c r="D411" i="2"/>
  <c r="C411" i="2"/>
  <c r="B411" i="2"/>
  <c r="F410" i="2"/>
  <c r="F421" i="2" s="1"/>
  <c r="I38" i="1" s="1"/>
  <c r="D410" i="2"/>
  <c r="C410" i="2"/>
  <c r="B410" i="2"/>
  <c r="F402" i="2"/>
  <c r="F401" i="2"/>
  <c r="F400" i="2"/>
  <c r="F399" i="2"/>
  <c r="F398" i="2"/>
  <c r="F397" i="2"/>
  <c r="F396" i="2"/>
  <c r="F395" i="2"/>
  <c r="F404" i="2" s="1"/>
  <c r="I36" i="1" s="1"/>
  <c r="J36" i="1" s="1"/>
  <c r="F394" i="2"/>
  <c r="F393" i="2"/>
  <c r="F386" i="2"/>
  <c r="F385" i="2"/>
  <c r="F384" i="2"/>
  <c r="F383" i="2"/>
  <c r="F382" i="2"/>
  <c r="F381" i="2"/>
  <c r="F380" i="2"/>
  <c r="F379" i="2"/>
  <c r="F378" i="2"/>
  <c r="F377" i="2"/>
  <c r="F370" i="2"/>
  <c r="F369" i="2"/>
  <c r="F368" i="2"/>
  <c r="F367" i="2"/>
  <c r="F366" i="2"/>
  <c r="F365" i="2"/>
  <c r="F364" i="2"/>
  <c r="F363" i="2"/>
  <c r="F362" i="2"/>
  <c r="F361" i="2"/>
  <c r="F372" i="2" s="1"/>
  <c r="I34" i="1" s="1"/>
  <c r="J34" i="1" s="1"/>
  <c r="F356" i="2"/>
  <c r="I33" i="1" s="1"/>
  <c r="J33" i="1" s="1"/>
  <c r="F338" i="2"/>
  <c r="F337" i="2"/>
  <c r="F336" i="2"/>
  <c r="F335" i="2"/>
  <c r="F334" i="2"/>
  <c r="F333" i="2"/>
  <c r="F332" i="2"/>
  <c r="F331" i="2"/>
  <c r="F330" i="2"/>
  <c r="F329" i="2"/>
  <c r="F322" i="2"/>
  <c r="F321" i="2"/>
  <c r="F320" i="2"/>
  <c r="F319" i="2"/>
  <c r="F318" i="2"/>
  <c r="F317" i="2"/>
  <c r="F316" i="2"/>
  <c r="F315" i="2"/>
  <c r="F324" i="2" s="1"/>
  <c r="I30" i="1" s="1"/>
  <c r="J30" i="1" s="1"/>
  <c r="F314" i="2"/>
  <c r="F313" i="2"/>
  <c r="F306" i="2"/>
  <c r="F305" i="2"/>
  <c r="F304" i="2"/>
  <c r="F303" i="2"/>
  <c r="F302" i="2"/>
  <c r="F301" i="2"/>
  <c r="F300" i="2"/>
  <c r="F299" i="2"/>
  <c r="F298" i="2"/>
  <c r="F308" i="2" s="1"/>
  <c r="I28" i="1" s="1"/>
  <c r="J28" i="1" s="1"/>
  <c r="F297" i="2"/>
  <c r="F290" i="2"/>
  <c r="F289" i="2"/>
  <c r="F288" i="2"/>
  <c r="F287" i="2"/>
  <c r="F286" i="2"/>
  <c r="F285" i="2"/>
  <c r="F284" i="2"/>
  <c r="F283" i="2"/>
  <c r="F282" i="2"/>
  <c r="F281" i="2"/>
  <c r="F292" i="2" s="1"/>
  <c r="I26" i="1" s="1"/>
  <c r="F274" i="2"/>
  <c r="F273" i="2"/>
  <c r="F272" i="2"/>
  <c r="F271" i="2"/>
  <c r="F270" i="2"/>
  <c r="F269" i="2"/>
  <c r="F268" i="2"/>
  <c r="F267" i="2"/>
  <c r="F266" i="2"/>
  <c r="F265" i="2"/>
  <c r="F276" i="2" s="1"/>
  <c r="I25" i="1" s="1"/>
  <c r="F258" i="2"/>
  <c r="F257" i="2"/>
  <c r="F256" i="2"/>
  <c r="F255" i="2"/>
  <c r="F254" i="2"/>
  <c r="F253" i="2"/>
  <c r="F252" i="2"/>
  <c r="F251" i="2"/>
  <c r="F260" i="2" s="1"/>
  <c r="I24" i="1" s="1"/>
  <c r="F250" i="2"/>
  <c r="F249" i="2"/>
  <c r="F242" i="2"/>
  <c r="F241" i="2"/>
  <c r="F240" i="2"/>
  <c r="F239" i="2"/>
  <c r="F238" i="2"/>
  <c r="F237" i="2"/>
  <c r="F236" i="2"/>
  <c r="F235" i="2"/>
  <c r="F234" i="2"/>
  <c r="F244" i="2" s="1"/>
  <c r="I23" i="1" s="1"/>
  <c r="F233" i="2"/>
  <c r="F226" i="2"/>
  <c r="F225" i="2"/>
  <c r="F224" i="2"/>
  <c r="F223" i="2"/>
  <c r="F222" i="2"/>
  <c r="F221" i="2"/>
  <c r="F220" i="2"/>
  <c r="F219" i="2"/>
  <c r="F218" i="2"/>
  <c r="F217" i="2"/>
  <c r="F228" i="2" s="1"/>
  <c r="I22" i="1" s="1"/>
  <c r="F210" i="2"/>
  <c r="F209" i="2"/>
  <c r="F208" i="2"/>
  <c r="F207" i="2"/>
  <c r="F206" i="2"/>
  <c r="F205" i="2"/>
  <c r="F204" i="2"/>
  <c r="F203" i="2"/>
  <c r="F202" i="2"/>
  <c r="F201" i="2"/>
  <c r="F212" i="2" s="1"/>
  <c r="I21" i="1" s="1"/>
  <c r="J21" i="1" s="1"/>
  <c r="F194" i="2"/>
  <c r="F193" i="2"/>
  <c r="F192" i="2"/>
  <c r="F191" i="2"/>
  <c r="F190" i="2"/>
  <c r="F189" i="2"/>
  <c r="F188" i="2"/>
  <c r="F187" i="2"/>
  <c r="F186" i="2"/>
  <c r="F185" i="2"/>
  <c r="F178" i="2"/>
  <c r="F177" i="2"/>
  <c r="F176" i="2"/>
  <c r="F175" i="2"/>
  <c r="F174" i="2"/>
  <c r="F173" i="2"/>
  <c r="F172" i="2"/>
  <c r="F171" i="2"/>
  <c r="F170" i="2"/>
  <c r="F169" i="2"/>
  <c r="F162" i="2"/>
  <c r="F161" i="2"/>
  <c r="F160" i="2"/>
  <c r="F159" i="2"/>
  <c r="F158" i="2"/>
  <c r="F157" i="2"/>
  <c r="F156" i="2"/>
  <c r="F155" i="2"/>
  <c r="F154" i="2"/>
  <c r="F153" i="2"/>
  <c r="F146" i="2"/>
  <c r="F145" i="2"/>
  <c r="F144" i="2"/>
  <c r="F143" i="2"/>
  <c r="F142" i="2"/>
  <c r="F141" i="2"/>
  <c r="F140" i="2"/>
  <c r="F138" i="2"/>
  <c r="F137" i="2"/>
  <c r="F130" i="2"/>
  <c r="C130" i="2"/>
  <c r="D129" i="2"/>
  <c r="F129" i="2" s="1"/>
  <c r="D128" i="2"/>
  <c r="F128" i="2" s="1"/>
  <c r="C128" i="2"/>
  <c r="D127" i="2"/>
  <c r="F127" i="2" s="1"/>
  <c r="C127" i="2"/>
  <c r="F126" i="2"/>
  <c r="F125" i="2"/>
  <c r="F124" i="2"/>
  <c r="D123" i="2"/>
  <c r="F123" i="2" s="1"/>
  <c r="C123" i="2"/>
  <c r="D122" i="2"/>
  <c r="F122" i="2" s="1"/>
  <c r="D121" i="2"/>
  <c r="F121" i="2" s="1"/>
  <c r="F113" i="2"/>
  <c r="F112" i="2"/>
  <c r="F111" i="2"/>
  <c r="F110" i="2"/>
  <c r="F109" i="2"/>
  <c r="F108" i="2"/>
  <c r="F107" i="2"/>
  <c r="F106" i="2"/>
  <c r="F105" i="2"/>
  <c r="F104" i="2"/>
  <c r="F115" i="2" s="1"/>
  <c r="I14" i="1" s="1"/>
  <c r="F97" i="2"/>
  <c r="F96" i="2"/>
  <c r="F95" i="2"/>
  <c r="F94" i="2"/>
  <c r="F93" i="2"/>
  <c r="F92" i="2"/>
  <c r="F91" i="2"/>
  <c r="F90" i="2"/>
  <c r="F99" i="2" s="1"/>
  <c r="I13" i="1" s="1"/>
  <c r="F89" i="2"/>
  <c r="F88" i="2"/>
  <c r="F81" i="2"/>
  <c r="F80" i="2"/>
  <c r="F79" i="2"/>
  <c r="F78" i="2"/>
  <c r="F77" i="2"/>
  <c r="F76" i="2"/>
  <c r="F75" i="2"/>
  <c r="F74" i="2"/>
  <c r="F73" i="2"/>
  <c r="F83" i="2" s="1"/>
  <c r="I12" i="1" s="1"/>
  <c r="J12" i="1" s="1"/>
  <c r="F72" i="2"/>
  <c r="F65" i="2"/>
  <c r="F64" i="2"/>
  <c r="F63" i="2"/>
  <c r="F62" i="2"/>
  <c r="F61" i="2"/>
  <c r="F60" i="2"/>
  <c r="F59" i="2"/>
  <c r="F58" i="2"/>
  <c r="F57" i="2"/>
  <c r="F56" i="2"/>
  <c r="F67" i="2" s="1"/>
  <c r="I11" i="1" s="1"/>
  <c r="J11" i="1" s="1"/>
  <c r="F49" i="2"/>
  <c r="F48" i="2"/>
  <c r="F47" i="2"/>
  <c r="F46" i="2"/>
  <c r="F45" i="2"/>
  <c r="F44" i="2"/>
  <c r="F43" i="2"/>
  <c r="F42" i="2"/>
  <c r="F41" i="2"/>
  <c r="F40" i="2"/>
  <c r="F51" i="2" s="1"/>
  <c r="I10" i="1" s="1"/>
  <c r="J10" i="1" s="1"/>
  <c r="F33" i="2"/>
  <c r="F32" i="2"/>
  <c r="F31" i="2"/>
  <c r="F30" i="2"/>
  <c r="F29" i="2"/>
  <c r="F28" i="2"/>
  <c r="F27" i="2"/>
  <c r="F26" i="2"/>
  <c r="F35" i="2" s="1"/>
  <c r="I9" i="1" s="1"/>
  <c r="J9" i="1" s="1"/>
  <c r="F25" i="2"/>
  <c r="F24" i="2"/>
  <c r="F17" i="2"/>
  <c r="D17" i="2"/>
  <c r="C17" i="2"/>
  <c r="B17" i="2"/>
  <c r="F16" i="2"/>
  <c r="D16" i="2"/>
  <c r="C16" i="2"/>
  <c r="B16" i="2"/>
  <c r="F15" i="2"/>
  <c r="D15" i="2"/>
  <c r="C15" i="2"/>
  <c r="B15" i="2"/>
  <c r="F14" i="2"/>
  <c r="D14" i="2"/>
  <c r="C14" i="2"/>
  <c r="B14" i="2"/>
  <c r="F13" i="2"/>
  <c r="D13" i="2"/>
  <c r="C13" i="2"/>
  <c r="B13" i="2"/>
  <c r="F12" i="2"/>
  <c r="D12" i="2"/>
  <c r="C12" i="2"/>
  <c r="B12" i="2"/>
  <c r="F11" i="2"/>
  <c r="D11" i="2"/>
  <c r="C11" i="2"/>
  <c r="B11" i="2"/>
  <c r="F10" i="2"/>
  <c r="D10" i="2"/>
  <c r="C10" i="2"/>
  <c r="B10" i="2"/>
  <c r="F9" i="2"/>
  <c r="D9" i="2"/>
  <c r="C9" i="2"/>
  <c r="B9" i="2"/>
  <c r="F8" i="2"/>
  <c r="F19" i="2" s="1"/>
  <c r="I8" i="1" s="1"/>
  <c r="D8" i="2"/>
  <c r="C8" i="2"/>
  <c r="B8" i="2"/>
  <c r="F388" i="2" l="1"/>
  <c r="I35" i="1" s="1"/>
  <c r="J35" i="1" s="1"/>
  <c r="J32" i="1"/>
  <c r="K32" i="1" s="1"/>
  <c r="F340" i="2"/>
  <c r="I32" i="1" s="1"/>
  <c r="F196" i="2"/>
  <c r="I20" i="1" s="1"/>
  <c r="J20" i="1" s="1"/>
  <c r="L20" i="1" s="1"/>
  <c r="F180" i="2"/>
  <c r="I19" i="1" s="1"/>
  <c r="J19" i="1" s="1"/>
  <c r="K19" i="1" s="1"/>
  <c r="F164" i="2"/>
  <c r="I18" i="1" s="1"/>
  <c r="J18" i="1" s="1"/>
  <c r="F148" i="2"/>
  <c r="I17" i="1" s="1"/>
  <c r="J17" i="1" s="1"/>
  <c r="L28" i="1"/>
  <c r="K28" i="1"/>
  <c r="L40" i="1"/>
  <c r="K40" i="1"/>
  <c r="K18" i="1"/>
  <c r="L18" i="1"/>
  <c r="L9" i="1"/>
  <c r="K9" i="1"/>
  <c r="L12" i="1"/>
  <c r="K12" i="1"/>
  <c r="K34" i="1"/>
  <c r="L34" i="1"/>
  <c r="L39" i="1"/>
  <c r="K39" i="1"/>
  <c r="L11" i="1"/>
  <c r="K11" i="1"/>
  <c r="K36" i="1"/>
  <c r="L36" i="1"/>
  <c r="L41" i="1"/>
  <c r="K41" i="1"/>
  <c r="J8" i="1"/>
  <c r="L10" i="1"/>
  <c r="K10" i="1"/>
  <c r="F132" i="2"/>
  <c r="I16" i="1" s="1"/>
  <c r="I43" i="1" s="1"/>
  <c r="K17" i="1"/>
  <c r="L17" i="1"/>
  <c r="K20" i="1"/>
  <c r="K21" i="1"/>
  <c r="L21" i="1"/>
  <c r="K30" i="1"/>
  <c r="L30" i="1"/>
  <c r="K33" i="1"/>
  <c r="L33" i="1"/>
  <c r="K35" i="1"/>
  <c r="L35" i="1"/>
  <c r="J38" i="1"/>
  <c r="L32" i="1" l="1"/>
  <c r="L19" i="1"/>
  <c r="J16" i="1"/>
  <c r="J43" i="1" s="1"/>
  <c r="L38" i="1"/>
  <c r="K38" i="1"/>
  <c r="L8" i="1"/>
  <c r="K8" i="1"/>
  <c r="L16" i="1"/>
  <c r="K16" i="1" l="1"/>
  <c r="L43" i="1"/>
  <c r="K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6" authorId="0" shapeId="0" xr:uid="{00000000-0006-0000-0000-000001000000}">
      <text>
        <r>
          <rPr>
            <b/>
            <sz val="10"/>
            <rFont val="Tahoma"/>
            <family val="2"/>
          </rPr>
          <t>Author:</t>
        </r>
        <r>
          <rPr>
            <sz val="10"/>
            <rFont val="Tahoma"/>
            <family val="2"/>
          </rPr>
          <t xml:space="preserve">
Formula Already Inserted Kindly fill up Marketing Budget Sheet_x000D_</t>
        </r>
      </text>
    </comment>
  </commentList>
</comments>
</file>

<file path=xl/sharedStrings.xml><?xml version="1.0" encoding="utf-8"?>
<sst xmlns="http://schemas.openxmlformats.org/spreadsheetml/2006/main" count="644" uniqueCount="85">
  <si>
    <t xml:space="preserve">          United Crop Care, Gulbarga (KNT)</t>
  </si>
  <si>
    <t>Yearly Expenses Budget 2026-27</t>
  </si>
  <si>
    <t>State Head - Mohan Hublikar - SH - Karnataka</t>
  </si>
  <si>
    <t>State - Karnataka</t>
  </si>
  <si>
    <t>Date ………..….</t>
  </si>
  <si>
    <t>Name of Employees</t>
  </si>
  <si>
    <t>No. 
of FA</t>
  </si>
  <si>
    <t>No. of FA's Month</t>
  </si>
  <si>
    <t>Annual Sales Plan</t>
  </si>
  <si>
    <t>Annaul Collection Plan</t>
  </si>
  <si>
    <t>Annual Salary</t>
  </si>
  <si>
    <t>Annual Travelling</t>
  </si>
  <si>
    <t>Annual FA Cost</t>
  </si>
  <si>
    <t>Annual Marketing Budget</t>
  </si>
  <si>
    <t>Total Cost</t>
  </si>
  <si>
    <t>Sales : Expense ratio</t>
  </si>
  <si>
    <t>Collection : Expense ratio</t>
  </si>
  <si>
    <t>B. S. Bhandi - Sr. AM - Kalaburagi</t>
  </si>
  <si>
    <t>Basavaraj Biradar - ADM - Bidar</t>
  </si>
  <si>
    <t xml:space="preserve">Basavaraj Devalgudda - SR - Shurpur </t>
  </si>
  <si>
    <t>B S Bhandi, Gulbarga - Direct</t>
  </si>
  <si>
    <t>Mallikarjun Natekar - SR - Humnabad</t>
  </si>
  <si>
    <t>Virupakhappa H - SO - Yadgir &amp; Shahapur</t>
  </si>
  <si>
    <t>Vacant</t>
  </si>
  <si>
    <t>Gopal Rao Patil - RSM - Bellari</t>
  </si>
  <si>
    <t>Avinash K N - SSO - Raichur</t>
  </si>
  <si>
    <t>K Basavaraj - SO - Talur</t>
  </si>
  <si>
    <t>K Kote Lingana Gowda - SO - Ballari</t>
  </si>
  <si>
    <t>Vacant - Koppal</t>
  </si>
  <si>
    <t>Vacant - Lingasugur</t>
  </si>
  <si>
    <t>Vacant - Maski</t>
  </si>
  <si>
    <t>Vacant - Sindhanur</t>
  </si>
  <si>
    <t>Vacant - Sirvar</t>
  </si>
  <si>
    <t>Vacant - Yemignoor</t>
  </si>
  <si>
    <t>Vacant - Vacant</t>
  </si>
  <si>
    <t>Siddhigouda S N - SO - Mandya</t>
  </si>
  <si>
    <t>Somu E - AASM - Chikkaballapur</t>
  </si>
  <si>
    <t>Somu E - AASM - Kadur (Chikamagalore)</t>
  </si>
  <si>
    <t>Kembegowda - SO - Tumakur</t>
  </si>
  <si>
    <t>Kiran C - SR - Kolar</t>
  </si>
  <si>
    <t>Mallikarjunapp M - SR - Hassan</t>
  </si>
  <si>
    <t>Vacant  - Vacant</t>
  </si>
  <si>
    <t>Vacant - 1</t>
  </si>
  <si>
    <t>Vacant - 2</t>
  </si>
  <si>
    <t>Vacant - 3</t>
  </si>
  <si>
    <t>Mohan Hublikar - SH - Karnataka - Total :</t>
  </si>
  <si>
    <t>Marketing Budget 2026-27</t>
  </si>
  <si>
    <t>Type of Marketing Activity</t>
  </si>
  <si>
    <t>Area for Activity</t>
  </si>
  <si>
    <t>Crop 
Targeted</t>
  </si>
  <si>
    <t>Nos</t>
  </si>
  <si>
    <t>Rate</t>
  </si>
  <si>
    <t>Amount</t>
  </si>
  <si>
    <t>Jeep Campaigning</t>
  </si>
  <si>
    <t>Litreature</t>
  </si>
  <si>
    <t>Poster</t>
  </si>
  <si>
    <t>Dealer Meeting</t>
  </si>
  <si>
    <t>Farmer Meeting</t>
  </si>
  <si>
    <t>Crop Shows</t>
  </si>
  <si>
    <t>Dealer Gifts</t>
  </si>
  <si>
    <t>Others</t>
  </si>
  <si>
    <t>Banner</t>
  </si>
  <si>
    <t>Total :</t>
  </si>
  <si>
    <t xml:space="preserve">Vacant </t>
  </si>
  <si>
    <t>chikkaballapur</t>
  </si>
  <si>
    <t xml:space="preserve">All product </t>
  </si>
  <si>
    <t xml:space="preserve">vegetables </t>
  </si>
  <si>
    <t xml:space="preserve">flower, vegetables </t>
  </si>
  <si>
    <t xml:space="preserve">chikkaballapur </t>
  </si>
  <si>
    <t>vegetables, flowers</t>
  </si>
  <si>
    <t xml:space="preserve">wall clock </t>
  </si>
  <si>
    <t xml:space="preserve">cocktail to dealers </t>
  </si>
  <si>
    <t xml:space="preserve">All products </t>
  </si>
  <si>
    <t>lingasuru</t>
  </si>
  <si>
    <t>all products</t>
  </si>
  <si>
    <t>lingasuru,dotihal</t>
  </si>
  <si>
    <t>glass mug</t>
  </si>
  <si>
    <t>chilly,cotton, paddy</t>
  </si>
  <si>
    <t>Raichuru, maski</t>
  </si>
  <si>
    <t>Raichuru,maski</t>
  </si>
  <si>
    <t>Ballary,taluru</t>
  </si>
  <si>
    <t>Ballary,moka</t>
  </si>
  <si>
    <t>Ballary moka</t>
  </si>
  <si>
    <t>kustagi,gangavati</t>
  </si>
  <si>
    <t>red gram, paddy,maize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</si>
</sst>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2"/>
      <name val="Calibri"/>
      <family val="1"/>
    </font>
    <font>
      <b/>
      <sz val="16"/>
      <name val="Calibri"/>
      <family val="1"/>
    </font>
    <font>
      <sz val="11"/>
      <name val="Gill Sans MT"/>
      <family val="1"/>
    </font>
    <font>
      <b/>
      <sz val="10"/>
      <name val="Gill Sans MT"/>
      <family val="1"/>
    </font>
    <font>
      <b/>
      <sz val="14"/>
      <name val="Calibri"/>
      <family val="1"/>
    </font>
    <font>
      <b/>
      <sz val="10"/>
      <name val="Tahoma"/>
      <family val="2"/>
    </font>
    <font>
      <sz val="10"/>
      <name val="Tahoma"/>
      <family val="2"/>
    </font>
    <font>
      <b/>
      <sz val="16"/>
      <name val="Times New Roman"/>
      <family val="1"/>
    </font>
    <font>
      <sz val="16"/>
      <name val="Times New Roman"/>
      <family val="1"/>
    </font>
    <font>
      <b/>
      <u/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AF1DD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33">
    <xf numFmtId="0" fontId="0" fillId="0" borderId="0" xfId="0"/>
    <xf numFmtId="0" fontId="2" fillId="0" borderId="0" xfId="0" applyFont="1"/>
    <xf numFmtId="0" fontId="1" fillId="0" borderId="1" xfId="0" applyFont="1" applyBorder="1"/>
    <xf numFmtId="43" fontId="1" fillId="0" borderId="2" xfId="1" applyBorder="1"/>
    <xf numFmtId="0" fontId="3" fillId="0" borderId="0" xfId="0" applyFont="1"/>
    <xf numFmtId="0" fontId="4" fillId="0" borderId="0" xfId="0" applyFont="1"/>
    <xf numFmtId="0" fontId="1" fillId="0" borderId="7" xfId="0" applyFont="1" applyBorder="1" applyAlignment="1">
      <alignment wrapText="1"/>
    </xf>
    <xf numFmtId="0" fontId="2" fillId="3" borderId="8" xfId="0" applyFont="1" applyFill="1" applyBorder="1"/>
    <xf numFmtId="43" fontId="2" fillId="4" borderId="9" xfId="1" applyFont="1" applyFill="1" applyBorder="1"/>
    <xf numFmtId="0" fontId="2" fillId="3" borderId="11" xfId="0" applyFont="1" applyFill="1" applyBorder="1" applyAlignment="1">
      <alignment vertical="top"/>
    </xf>
    <xf numFmtId="0" fontId="2" fillId="2" borderId="12" xfId="0" applyFont="1" applyFill="1" applyBorder="1" applyAlignment="1">
      <alignment horizontal="center"/>
    </xf>
    <xf numFmtId="43" fontId="2" fillId="2" borderId="13" xfId="1" applyFont="1" applyFill="1" applyBorder="1"/>
    <xf numFmtId="49" fontId="2" fillId="3" borderId="14" xfId="0" applyNumberFormat="1" applyFont="1" applyFill="1" applyBorder="1" applyAlignment="1">
      <alignment vertical="top"/>
    </xf>
    <xf numFmtId="0" fontId="5" fillId="0" borderId="0" xfId="0" applyFont="1" applyAlignment="1">
      <alignment vertical="center"/>
    </xf>
    <xf numFmtId="0" fontId="6" fillId="5" borderId="15" xfId="0" applyFont="1" applyFill="1" applyBorder="1" applyAlignment="1">
      <alignment horizontal="center" vertical="center" wrapText="1"/>
    </xf>
    <xf numFmtId="43" fontId="2" fillId="3" borderId="16" xfId="0" applyNumberFormat="1" applyFont="1" applyFill="1" applyBorder="1" applyAlignment="1">
      <alignment vertical="top"/>
    </xf>
    <xf numFmtId="0" fontId="7" fillId="6" borderId="19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0" fillId="6" borderId="1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vertical="top"/>
    </xf>
    <xf numFmtId="0" fontId="10" fillId="2" borderId="3" xfId="0" applyFont="1" applyFill="1" applyBorder="1" applyAlignment="1">
      <alignment horizontal="center" vertical="center" wrapText="1"/>
    </xf>
    <xf numFmtId="0" fontId="11" fillId="0" borderId="1" xfId="0" applyFont="1" applyBorder="1"/>
    <xf numFmtId="43" fontId="11" fillId="0" borderId="2" xfId="1" applyFont="1" applyBorder="1"/>
    <xf numFmtId="0" fontId="10" fillId="0" borderId="6" xfId="0" applyFont="1" applyBorder="1" applyAlignment="1">
      <alignment horizontal="center"/>
    </xf>
    <xf numFmtId="0" fontId="11" fillId="0" borderId="4" xfId="0" applyFont="1" applyBorder="1"/>
    <xf numFmtId="43" fontId="10" fillId="0" borderId="5" xfId="1" applyFont="1" applyBorder="1"/>
    <xf numFmtId="0" fontId="10" fillId="0" borderId="17" xfId="0" applyFont="1" applyBorder="1"/>
    <xf numFmtId="0" fontId="10" fillId="4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43" fontId="1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3"/>
  <sheetViews>
    <sheetView topLeftCell="A9" zoomScale="59" zoomScaleNormal="59" workbookViewId="0">
      <selection activeCell="I23" sqref="I23"/>
    </sheetView>
  </sheetViews>
  <sheetFormatPr defaultColWidth="9" defaultRowHeight="15" x14ac:dyDescent="0.25"/>
  <cols>
    <col min="1" max="1" width="46" customWidth="1"/>
    <col min="2" max="2" width="6.5703125" customWidth="1"/>
    <col min="3" max="3" width="13.140625" customWidth="1"/>
    <col min="4" max="5" width="13.85546875" customWidth="1"/>
    <col min="6" max="6" width="11.85546875" customWidth="1"/>
    <col min="7" max="7" width="12.28515625" customWidth="1"/>
    <col min="8" max="8" width="12.7109375" customWidth="1"/>
    <col min="9" max="9" width="14.5703125" customWidth="1"/>
    <col min="10" max="10" width="15.85546875" customWidth="1"/>
    <col min="11" max="12" width="11.42578125" customWidth="1"/>
  </cols>
  <sheetData>
    <row r="1" spans="1:13" ht="21" customHeight="1" x14ac:dyDescent="0.35">
      <c r="A1" s="5" t="s">
        <v>0</v>
      </c>
    </row>
    <row r="2" spans="1:13" ht="18.75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4" spans="1:13" ht="15.75" customHeight="1" x14ac:dyDescent="0.25">
      <c r="A4" s="4" t="s">
        <v>2</v>
      </c>
      <c r="B4" s="4"/>
    </row>
    <row r="5" spans="1:13" ht="15.75" customHeight="1" x14ac:dyDescent="0.25">
      <c r="A5" s="4" t="s">
        <v>3</v>
      </c>
      <c r="B5" s="4"/>
      <c r="C5" s="1"/>
      <c r="J5" t="s">
        <v>4</v>
      </c>
    </row>
    <row r="6" spans="1:13" s="13" customFormat="1" ht="27" customHeight="1" x14ac:dyDescent="0.25">
      <c r="A6" s="14" t="s">
        <v>5</v>
      </c>
      <c r="B6" s="14" t="s">
        <v>6</v>
      </c>
      <c r="C6" s="14" t="s">
        <v>7</v>
      </c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  <c r="I6" s="14" t="s">
        <v>13</v>
      </c>
      <c r="J6" s="14" t="s">
        <v>14</v>
      </c>
      <c r="K6" s="14" t="s">
        <v>15</v>
      </c>
      <c r="L6" s="14" t="s">
        <v>16</v>
      </c>
      <c r="M6"/>
    </row>
    <row r="7" spans="1:13" x14ac:dyDescent="0.25">
      <c r="A7" s="2"/>
      <c r="B7" s="2"/>
      <c r="C7" s="2"/>
      <c r="D7" s="3"/>
      <c r="E7" s="3"/>
      <c r="F7" s="3"/>
      <c r="G7" s="3"/>
      <c r="H7" s="3"/>
      <c r="I7" s="3"/>
      <c r="J7" s="3"/>
      <c r="K7" s="3" t="str">
        <f t="shared" ref="K7:K12" si="0">IFERROR(J7/D7,"-")</f>
        <v>-</v>
      </c>
      <c r="L7" s="3" t="str">
        <f t="shared" ref="L7:L12" si="1">IFERROR(J7/E7,"-")</f>
        <v>-</v>
      </c>
    </row>
    <row r="8" spans="1:13" x14ac:dyDescent="0.25">
      <c r="A8" s="12" t="s">
        <v>17</v>
      </c>
      <c r="B8" s="9">
        <f t="shared" ref="B8:H8" si="2">SUM(B9:B12)</f>
        <v>0</v>
      </c>
      <c r="C8" s="9">
        <f t="shared" si="2"/>
        <v>0</v>
      </c>
      <c r="D8" s="9">
        <f t="shared" si="2"/>
        <v>0</v>
      </c>
      <c r="E8" s="9">
        <f t="shared" si="2"/>
        <v>0</v>
      </c>
      <c r="F8" s="9">
        <f t="shared" si="2"/>
        <v>0</v>
      </c>
      <c r="G8" s="9">
        <f t="shared" si="2"/>
        <v>0</v>
      </c>
      <c r="H8" s="9">
        <f t="shared" si="2"/>
        <v>0</v>
      </c>
      <c r="I8" s="8">
        <f>'Marketing Budget'!F19</f>
        <v>0</v>
      </c>
      <c r="J8" s="8">
        <f>SUM(F8:I8)</f>
        <v>0</v>
      </c>
      <c r="K8" s="8" t="str">
        <f t="shared" si="0"/>
        <v>-</v>
      </c>
      <c r="L8" s="8" t="str">
        <f t="shared" si="1"/>
        <v>-</v>
      </c>
    </row>
    <row r="9" spans="1:13" x14ac:dyDescent="0.25">
      <c r="A9" s="2" t="s">
        <v>18</v>
      </c>
      <c r="B9" s="2"/>
      <c r="C9" s="2"/>
      <c r="D9" s="3"/>
      <c r="E9" s="3"/>
      <c r="F9" s="3"/>
      <c r="G9" s="3"/>
      <c r="H9" s="3"/>
      <c r="I9" s="3">
        <f>'Marketing Budget'!F35</f>
        <v>0</v>
      </c>
      <c r="J9" s="3">
        <f>SUM(F9:I9)</f>
        <v>0</v>
      </c>
      <c r="K9" s="3" t="str">
        <f t="shared" si="0"/>
        <v>-</v>
      </c>
      <c r="L9" s="3" t="str">
        <f t="shared" si="1"/>
        <v>-</v>
      </c>
    </row>
    <row r="10" spans="1:13" x14ac:dyDescent="0.25">
      <c r="A10" s="2" t="s">
        <v>19</v>
      </c>
      <c r="B10" s="2"/>
      <c r="C10" s="2"/>
      <c r="D10" s="3"/>
      <c r="E10" s="3"/>
      <c r="F10" s="3"/>
      <c r="G10" s="3"/>
      <c r="H10" s="3"/>
      <c r="I10" s="3">
        <f>'Marketing Budget'!F51</f>
        <v>0</v>
      </c>
      <c r="J10" s="3">
        <f>SUM(F10:I10)</f>
        <v>0</v>
      </c>
      <c r="K10" s="3" t="str">
        <f t="shared" si="0"/>
        <v>-</v>
      </c>
      <c r="L10" s="3" t="str">
        <f t="shared" si="1"/>
        <v>-</v>
      </c>
    </row>
    <row r="11" spans="1:13" x14ac:dyDescent="0.25">
      <c r="A11" s="2" t="s">
        <v>20</v>
      </c>
      <c r="B11" s="2"/>
      <c r="C11" s="2"/>
      <c r="D11" s="3"/>
      <c r="E11" s="3"/>
      <c r="F11" s="3"/>
      <c r="G11" s="3"/>
      <c r="H11" s="3"/>
      <c r="I11" s="3">
        <f>'Marketing Budget'!F67</f>
        <v>0</v>
      </c>
      <c r="J11" s="3">
        <f>SUM(F11:I11)</f>
        <v>0</v>
      </c>
      <c r="K11" s="3" t="str">
        <f t="shared" si="0"/>
        <v>-</v>
      </c>
      <c r="L11" s="3" t="str">
        <f t="shared" si="1"/>
        <v>-</v>
      </c>
    </row>
    <row r="12" spans="1:13" x14ac:dyDescent="0.25">
      <c r="A12" s="2" t="s">
        <v>21</v>
      </c>
      <c r="B12" s="2"/>
      <c r="C12" s="2"/>
      <c r="D12" s="3"/>
      <c r="E12" s="3"/>
      <c r="F12" s="3"/>
      <c r="G12" s="3"/>
      <c r="H12" s="3"/>
      <c r="I12" s="3">
        <f>'Marketing Budget'!F83</f>
        <v>0</v>
      </c>
      <c r="J12" s="3">
        <f>SUM(F12:I12)</f>
        <v>0</v>
      </c>
      <c r="K12" s="3" t="str">
        <f t="shared" si="0"/>
        <v>-</v>
      </c>
      <c r="L12" s="3" t="str">
        <f t="shared" si="1"/>
        <v>-</v>
      </c>
    </row>
    <row r="13" spans="1:13" x14ac:dyDescent="0.25">
      <c r="A13" s="2" t="s">
        <v>22</v>
      </c>
      <c r="B13" s="2"/>
      <c r="C13" s="2"/>
      <c r="D13" s="3"/>
      <c r="E13" s="3"/>
      <c r="F13" s="3"/>
      <c r="G13" s="3"/>
      <c r="H13" s="3"/>
      <c r="I13" s="3">
        <f>'Marketing Budget'!F99</f>
        <v>0</v>
      </c>
      <c r="J13" s="3"/>
      <c r="K13" s="3"/>
      <c r="L13" s="3"/>
    </row>
    <row r="14" spans="1:13" x14ac:dyDescent="0.25">
      <c r="A14" s="2" t="s">
        <v>23</v>
      </c>
      <c r="B14" s="2"/>
      <c r="C14" s="2"/>
      <c r="D14" s="3"/>
      <c r="E14" s="3"/>
      <c r="F14" s="3"/>
      <c r="G14" s="3"/>
      <c r="H14" s="3"/>
      <c r="I14" s="3">
        <f>'Marketing Budget'!F115</f>
        <v>0</v>
      </c>
      <c r="J14" s="3"/>
      <c r="K14" s="3"/>
      <c r="L14" s="3"/>
    </row>
    <row r="15" spans="1:13" x14ac:dyDescent="0.25">
      <c r="A15" s="2"/>
      <c r="B15" s="2"/>
      <c r="C15" s="2"/>
      <c r="D15" s="3"/>
      <c r="E15" s="3"/>
      <c r="F15" s="3"/>
      <c r="G15" s="3"/>
      <c r="H15" s="3"/>
      <c r="I15" s="3"/>
      <c r="J15" s="3"/>
      <c r="K15" s="3"/>
      <c r="L15" s="3"/>
    </row>
    <row r="16" spans="1:13" x14ac:dyDescent="0.25">
      <c r="A16" s="12" t="s">
        <v>24</v>
      </c>
      <c r="B16" s="9">
        <f t="shared" ref="B16:H16" si="3">SUM(B17:B21)</f>
        <v>0</v>
      </c>
      <c r="C16" s="9">
        <f t="shared" si="3"/>
        <v>0</v>
      </c>
      <c r="D16" s="9">
        <f t="shared" si="3"/>
        <v>0</v>
      </c>
      <c r="E16" s="9">
        <f t="shared" si="3"/>
        <v>0</v>
      </c>
      <c r="F16" s="9">
        <f t="shared" si="3"/>
        <v>0</v>
      </c>
      <c r="G16" s="9">
        <f t="shared" si="3"/>
        <v>0</v>
      </c>
      <c r="H16" s="9">
        <f t="shared" si="3"/>
        <v>0</v>
      </c>
      <c r="I16" s="8">
        <f>'Marketing Budget'!F132</f>
        <v>240000</v>
      </c>
      <c r="J16" s="8">
        <f t="shared" ref="J16:J21" si="4">SUM(F16:I16)</f>
        <v>240000</v>
      </c>
      <c r="K16" s="8" t="str">
        <f t="shared" ref="K16:K21" si="5">IFERROR(J16/D16,"-")</f>
        <v>-</v>
      </c>
      <c r="L16" s="8" t="str">
        <f t="shared" ref="L16:L21" si="6">IFERROR(J16/E16,"-")</f>
        <v>-</v>
      </c>
    </row>
    <row r="17" spans="1:12" x14ac:dyDescent="0.25">
      <c r="A17" s="2" t="s">
        <v>25</v>
      </c>
      <c r="B17" s="2"/>
      <c r="C17" s="2"/>
      <c r="D17" s="3"/>
      <c r="E17" s="3"/>
      <c r="F17" s="3"/>
      <c r="G17" s="3"/>
      <c r="H17" s="3"/>
      <c r="I17" s="3">
        <f>'Marketing Budget'!F148</f>
        <v>40000</v>
      </c>
      <c r="J17" s="3">
        <f t="shared" si="4"/>
        <v>40000</v>
      </c>
      <c r="K17" s="3" t="str">
        <f t="shared" si="5"/>
        <v>-</v>
      </c>
      <c r="L17" s="3" t="str">
        <f t="shared" si="6"/>
        <v>-</v>
      </c>
    </row>
    <row r="18" spans="1:12" x14ac:dyDescent="0.25">
      <c r="A18" s="2" t="s">
        <v>26</v>
      </c>
      <c r="B18" s="2"/>
      <c r="C18" s="2"/>
      <c r="D18" s="3"/>
      <c r="E18" s="3"/>
      <c r="F18" s="3"/>
      <c r="G18" s="3"/>
      <c r="H18" s="3"/>
      <c r="I18" s="3">
        <f>'Marketing Budget'!F164</f>
        <v>40000</v>
      </c>
      <c r="J18" s="3">
        <f t="shared" si="4"/>
        <v>40000</v>
      </c>
      <c r="K18" s="3" t="str">
        <f t="shared" si="5"/>
        <v>-</v>
      </c>
      <c r="L18" s="3" t="str">
        <f t="shared" si="6"/>
        <v>-</v>
      </c>
    </row>
    <row r="19" spans="1:12" x14ac:dyDescent="0.25">
      <c r="A19" s="2" t="s">
        <v>27</v>
      </c>
      <c r="B19" s="2"/>
      <c r="C19" s="2"/>
      <c r="D19" s="3"/>
      <c r="E19" s="3"/>
      <c r="F19" s="3"/>
      <c r="G19" s="3"/>
      <c r="H19" s="3"/>
      <c r="I19" s="3">
        <f>'Marketing Budget'!F180</f>
        <v>40000</v>
      </c>
      <c r="J19" s="3">
        <f t="shared" si="4"/>
        <v>40000</v>
      </c>
      <c r="K19" s="3" t="str">
        <f t="shared" si="5"/>
        <v>-</v>
      </c>
      <c r="L19" s="3" t="str">
        <f t="shared" si="6"/>
        <v>-</v>
      </c>
    </row>
    <row r="20" spans="1:12" x14ac:dyDescent="0.25">
      <c r="A20" s="2" t="s">
        <v>28</v>
      </c>
      <c r="B20" s="2"/>
      <c r="C20" s="2"/>
      <c r="D20" s="3"/>
      <c r="E20" s="3"/>
      <c r="F20" s="3"/>
      <c r="G20" s="3"/>
      <c r="H20" s="3"/>
      <c r="I20" s="3">
        <f>'Marketing Budget'!F196</f>
        <v>40000</v>
      </c>
      <c r="J20" s="3">
        <f t="shared" si="4"/>
        <v>40000</v>
      </c>
      <c r="K20" s="3" t="str">
        <f t="shared" si="5"/>
        <v>-</v>
      </c>
      <c r="L20" s="3" t="str">
        <f t="shared" si="6"/>
        <v>-</v>
      </c>
    </row>
    <row r="21" spans="1:12" x14ac:dyDescent="0.25">
      <c r="A21" s="2" t="s">
        <v>29</v>
      </c>
      <c r="B21" s="2"/>
      <c r="C21" s="2"/>
      <c r="D21" s="3"/>
      <c r="E21" s="3"/>
      <c r="F21" s="3"/>
      <c r="G21" s="3"/>
      <c r="H21" s="3"/>
      <c r="I21" s="3">
        <f>'Marketing Budget'!F212</f>
        <v>0</v>
      </c>
      <c r="J21" s="3">
        <f t="shared" si="4"/>
        <v>0</v>
      </c>
      <c r="K21" s="3" t="str">
        <f t="shared" si="5"/>
        <v>-</v>
      </c>
      <c r="L21" s="3" t="str">
        <f t="shared" si="6"/>
        <v>-</v>
      </c>
    </row>
    <row r="22" spans="1:12" x14ac:dyDescent="0.25">
      <c r="A22" s="2" t="s">
        <v>30</v>
      </c>
      <c r="B22" s="2"/>
      <c r="C22" s="2"/>
      <c r="D22" s="3"/>
      <c r="E22" s="3"/>
      <c r="F22" s="3"/>
      <c r="G22" s="3"/>
      <c r="H22" s="3"/>
      <c r="I22" s="3">
        <f>'Marketing Budget'!F228</f>
        <v>0</v>
      </c>
      <c r="J22" s="3"/>
      <c r="K22" s="3"/>
      <c r="L22" s="3"/>
    </row>
    <row r="23" spans="1:12" x14ac:dyDescent="0.25">
      <c r="A23" s="2" t="s">
        <v>31</v>
      </c>
      <c r="B23" s="2"/>
      <c r="C23" s="2"/>
      <c r="D23" s="3"/>
      <c r="E23" s="3"/>
      <c r="F23" s="3"/>
      <c r="G23" s="3"/>
      <c r="H23" s="3"/>
      <c r="I23" s="3">
        <f>'Marketing Budget'!F244</f>
        <v>0</v>
      </c>
      <c r="J23" s="3"/>
      <c r="K23" s="3"/>
      <c r="L23" s="3"/>
    </row>
    <row r="24" spans="1:12" x14ac:dyDescent="0.25">
      <c r="A24" s="2" t="s">
        <v>32</v>
      </c>
      <c r="B24" s="2"/>
      <c r="C24" s="2"/>
      <c r="D24" s="3"/>
      <c r="E24" s="3"/>
      <c r="F24" s="3"/>
      <c r="G24" s="3"/>
      <c r="H24" s="3"/>
      <c r="I24" s="3">
        <f>'Marketing Budget'!F260</f>
        <v>0</v>
      </c>
      <c r="J24" s="3"/>
      <c r="K24" s="3"/>
      <c r="L24" s="3"/>
    </row>
    <row r="25" spans="1:12" x14ac:dyDescent="0.25">
      <c r="A25" s="2" t="s">
        <v>33</v>
      </c>
      <c r="B25" s="2"/>
      <c r="C25" s="2"/>
      <c r="D25" s="3"/>
      <c r="E25" s="3"/>
      <c r="F25" s="3"/>
      <c r="G25" s="3"/>
      <c r="H25" s="3"/>
      <c r="I25" s="3">
        <f>'Marketing Budget'!F276</f>
        <v>0</v>
      </c>
      <c r="J25" s="3"/>
      <c r="K25" s="3"/>
      <c r="L25" s="3"/>
    </row>
    <row r="26" spans="1:12" x14ac:dyDescent="0.25">
      <c r="A26" s="2" t="s">
        <v>34</v>
      </c>
      <c r="B26" s="2"/>
      <c r="C26" s="2"/>
      <c r="D26" s="3"/>
      <c r="E26" s="3"/>
      <c r="F26" s="3"/>
      <c r="G26" s="3"/>
      <c r="H26" s="3"/>
      <c r="I26" s="3">
        <f>'Marketing Budget'!F292</f>
        <v>0</v>
      </c>
      <c r="J26" s="3"/>
      <c r="K26" s="3"/>
      <c r="L26" s="3"/>
    </row>
    <row r="27" spans="1:12" x14ac:dyDescent="0.25">
      <c r="A27" s="2"/>
      <c r="B27" s="2"/>
      <c r="C27" s="2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7" t="s">
        <v>35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8">
        <f>'Marketing Budget'!F308</f>
        <v>0</v>
      </c>
      <c r="J28" s="8">
        <f>SUM(F28:I28)</f>
        <v>0</v>
      </c>
      <c r="K28" s="8" t="str">
        <f>IFERROR(J28/D28,"-")</f>
        <v>-</v>
      </c>
      <c r="L28" s="8" t="str">
        <f>IFERROR(J28/E28,"-")</f>
        <v>-</v>
      </c>
    </row>
    <row r="29" spans="1:12" x14ac:dyDescent="0.25">
      <c r="A29" s="2"/>
      <c r="B29" s="6"/>
      <c r="C29" s="2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5">
      <c r="A30" s="7" t="s">
        <v>36</v>
      </c>
      <c r="B30" s="9">
        <v>2</v>
      </c>
      <c r="C30" s="9">
        <v>12</v>
      </c>
      <c r="D30" s="9">
        <v>5000000</v>
      </c>
      <c r="E30" s="9">
        <v>5000000</v>
      </c>
      <c r="F30" s="9">
        <v>700000</v>
      </c>
      <c r="G30" s="9">
        <v>350000</v>
      </c>
      <c r="H30" s="9">
        <v>220000</v>
      </c>
      <c r="I30" s="8">
        <f>'Marketing Budget'!F324</f>
        <v>80000</v>
      </c>
      <c r="J30" s="8">
        <f>SUM(F30:I30)</f>
        <v>1350000</v>
      </c>
      <c r="K30" s="8">
        <f>IFERROR(J30/D30,"-")</f>
        <v>0.27</v>
      </c>
      <c r="L30" s="8">
        <f>IFERROR(J30/E30,"-")</f>
        <v>0.27</v>
      </c>
    </row>
    <row r="31" spans="1:12" x14ac:dyDescent="0.25">
      <c r="A31" s="2"/>
      <c r="B31" s="6"/>
      <c r="C31" s="2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7" t="s">
        <v>37</v>
      </c>
      <c r="B32" s="9">
        <f t="shared" ref="B32:H32" si="7">SUM(B33:B35)</f>
        <v>15</v>
      </c>
      <c r="C32" s="9">
        <f t="shared" si="7"/>
        <v>36</v>
      </c>
      <c r="D32" s="15">
        <f t="shared" si="7"/>
        <v>1500000</v>
      </c>
      <c r="E32" s="9">
        <f t="shared" si="7"/>
        <v>1500000</v>
      </c>
      <c r="F32" s="15">
        <f t="shared" si="7"/>
        <v>962000</v>
      </c>
      <c r="G32" s="9">
        <f t="shared" si="7"/>
        <v>420000</v>
      </c>
      <c r="H32" s="9">
        <f t="shared" si="7"/>
        <v>300000</v>
      </c>
      <c r="I32" s="8">
        <f>'Marketing Budget'!F340</f>
        <v>0</v>
      </c>
      <c r="J32" s="8">
        <f>SUM(F32:I32)</f>
        <v>1682000</v>
      </c>
      <c r="K32" s="8">
        <f>IFERROR(J32/D32,"-")</f>
        <v>1.1213333333333333</v>
      </c>
      <c r="L32" s="8">
        <f>IFERROR(J32/E32,"-")</f>
        <v>1.1213333333333333</v>
      </c>
    </row>
    <row r="33" spans="1:12" x14ac:dyDescent="0.25">
      <c r="A33" s="2" t="s">
        <v>38</v>
      </c>
      <c r="B33" s="2">
        <v>5</v>
      </c>
      <c r="C33" s="2">
        <v>12</v>
      </c>
      <c r="D33" s="3">
        <v>500000</v>
      </c>
      <c r="E33" s="3">
        <v>500000</v>
      </c>
      <c r="F33" s="3">
        <v>312000</v>
      </c>
      <c r="G33" s="3">
        <v>140000</v>
      </c>
      <c r="H33" s="3">
        <v>100000</v>
      </c>
      <c r="I33" s="3">
        <f>'Marketing Budget'!F356</f>
        <v>0</v>
      </c>
      <c r="J33" s="3">
        <f>SUM(F33:I33)</f>
        <v>552000</v>
      </c>
      <c r="K33" s="3">
        <f>IFERROR(J33/D33,"-")</f>
        <v>1.1040000000000001</v>
      </c>
      <c r="L33" s="3">
        <f>IFERROR(J33/E33,"-")</f>
        <v>1.1040000000000001</v>
      </c>
    </row>
    <row r="34" spans="1:12" x14ac:dyDescent="0.25">
      <c r="A34" s="2" t="s">
        <v>39</v>
      </c>
      <c r="B34" s="2">
        <v>5</v>
      </c>
      <c r="C34" s="2">
        <v>12</v>
      </c>
      <c r="D34" s="3">
        <v>500000</v>
      </c>
      <c r="E34" s="3">
        <v>500000</v>
      </c>
      <c r="F34" s="3">
        <v>300000</v>
      </c>
      <c r="G34" s="3">
        <v>140000</v>
      </c>
      <c r="H34" s="3">
        <v>100000</v>
      </c>
      <c r="I34" s="3">
        <f>'Marketing Budget'!F372</f>
        <v>0</v>
      </c>
      <c r="J34" s="3">
        <f>SUM(F34:I34)</f>
        <v>540000</v>
      </c>
      <c r="K34" s="3">
        <f>IFERROR(J34/D34,"-")</f>
        <v>1.08</v>
      </c>
      <c r="L34" s="3">
        <f>IFERROR(J34/E34,"-")</f>
        <v>1.08</v>
      </c>
    </row>
    <row r="35" spans="1:12" x14ac:dyDescent="0.25">
      <c r="A35" s="2" t="s">
        <v>40</v>
      </c>
      <c r="B35" s="2">
        <v>5</v>
      </c>
      <c r="C35" s="2">
        <v>12</v>
      </c>
      <c r="D35" s="3">
        <v>500000</v>
      </c>
      <c r="E35" s="3">
        <v>500000</v>
      </c>
      <c r="F35" s="3">
        <v>350000</v>
      </c>
      <c r="G35" s="3">
        <v>140000</v>
      </c>
      <c r="H35" s="3">
        <v>100000</v>
      </c>
      <c r="I35" s="3">
        <f>'Marketing Budget'!F388</f>
        <v>0</v>
      </c>
      <c r="J35" s="3">
        <f>SUM(F35:I35)</f>
        <v>590000</v>
      </c>
      <c r="K35" s="3">
        <f>IFERROR(J35/D35,"-")</f>
        <v>1.18</v>
      </c>
      <c r="L35" s="3">
        <f>IFERROR(J35/E35,"-")</f>
        <v>1.18</v>
      </c>
    </row>
    <row r="36" spans="1:12" x14ac:dyDescent="0.25">
      <c r="A36" s="2" t="s">
        <v>23</v>
      </c>
      <c r="B36" s="2"/>
      <c r="C36" s="2"/>
      <c r="D36" s="3"/>
      <c r="E36" s="3"/>
      <c r="F36" s="3"/>
      <c r="G36" s="3"/>
      <c r="H36" s="3"/>
      <c r="I36" s="3">
        <f>'Marketing Budget'!F404</f>
        <v>0</v>
      </c>
      <c r="J36" s="3">
        <f>SUM(F36:I36)</f>
        <v>0</v>
      </c>
      <c r="K36" s="3" t="str">
        <f>IFERROR(J36/D36,"-")</f>
        <v>-</v>
      </c>
      <c r="L36" s="3" t="str">
        <f>IFERROR(J36/E36,"-")</f>
        <v>-</v>
      </c>
    </row>
    <row r="37" spans="1:12" x14ac:dyDescent="0.25">
      <c r="A37" s="2"/>
      <c r="B37" s="6"/>
      <c r="C37" s="2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7" t="s">
        <v>41</v>
      </c>
      <c r="B38" s="9">
        <f t="shared" ref="B38:H38" si="8">SUM(B39:B41)</f>
        <v>0</v>
      </c>
      <c r="C38" s="9">
        <f t="shared" si="8"/>
        <v>0</v>
      </c>
      <c r="D38" s="15">
        <f t="shared" si="8"/>
        <v>0</v>
      </c>
      <c r="E38" s="9">
        <f t="shared" si="8"/>
        <v>0</v>
      </c>
      <c r="F38" s="15">
        <f t="shared" si="8"/>
        <v>0</v>
      </c>
      <c r="G38" s="9">
        <f t="shared" si="8"/>
        <v>0</v>
      </c>
      <c r="H38" s="9">
        <f t="shared" si="8"/>
        <v>0</v>
      </c>
      <c r="I38" s="8">
        <f>'Marketing Budget'!F421</f>
        <v>0</v>
      </c>
      <c r="J38" s="8">
        <f>SUM(F38:I38)</f>
        <v>0</v>
      </c>
      <c r="K38" s="8" t="str">
        <f t="shared" ref="K38:K43" si="9">IFERROR(J38/D38,"-")</f>
        <v>-</v>
      </c>
      <c r="L38" s="8" t="str">
        <f t="shared" ref="L38:L43" si="10">IFERROR(J38/E38,"-")</f>
        <v>-</v>
      </c>
    </row>
    <row r="39" spans="1:12" x14ac:dyDescent="0.25">
      <c r="A39" s="2" t="s">
        <v>42</v>
      </c>
      <c r="B39" s="2"/>
      <c r="C39" s="2"/>
      <c r="D39" s="3"/>
      <c r="E39" s="3"/>
      <c r="F39" s="3"/>
      <c r="G39" s="3"/>
      <c r="H39" s="3"/>
      <c r="I39" s="3">
        <f>'Marketing Budget'!F437</f>
        <v>0</v>
      </c>
      <c r="J39" s="3">
        <f>SUM(F39:I39)</f>
        <v>0</v>
      </c>
      <c r="K39" s="3" t="str">
        <f t="shared" si="9"/>
        <v>-</v>
      </c>
      <c r="L39" s="3" t="str">
        <f t="shared" si="10"/>
        <v>-</v>
      </c>
    </row>
    <row r="40" spans="1:12" x14ac:dyDescent="0.25">
      <c r="A40" s="2" t="s">
        <v>43</v>
      </c>
      <c r="B40" s="2"/>
      <c r="C40" s="2"/>
      <c r="D40" s="3"/>
      <c r="E40" s="3"/>
      <c r="F40" s="3"/>
      <c r="G40" s="3"/>
      <c r="H40" s="3"/>
      <c r="I40" s="3">
        <f>'Marketing Budget'!F453</f>
        <v>0</v>
      </c>
      <c r="J40" s="3">
        <f>SUM(F40:I40)</f>
        <v>0</v>
      </c>
      <c r="K40" s="3" t="str">
        <f t="shared" si="9"/>
        <v>-</v>
      </c>
      <c r="L40" s="3" t="str">
        <f t="shared" si="10"/>
        <v>-</v>
      </c>
    </row>
    <row r="41" spans="1:12" x14ac:dyDescent="0.25">
      <c r="A41" s="2" t="s">
        <v>44</v>
      </c>
      <c r="B41" s="2"/>
      <c r="C41" s="2"/>
      <c r="D41" s="3"/>
      <c r="E41" s="3"/>
      <c r="F41" s="3"/>
      <c r="G41" s="3"/>
      <c r="H41" s="3"/>
      <c r="I41" s="3">
        <f>'Marketing Budget'!F469</f>
        <v>0</v>
      </c>
      <c r="J41" s="3">
        <f>SUM(F41:I41)</f>
        <v>0</v>
      </c>
      <c r="K41" s="3" t="str">
        <f t="shared" si="9"/>
        <v>-</v>
      </c>
      <c r="L41" s="3" t="str">
        <f t="shared" si="10"/>
        <v>-</v>
      </c>
    </row>
    <row r="42" spans="1:12" x14ac:dyDescent="0.25">
      <c r="A42" s="2"/>
      <c r="B42" s="2"/>
      <c r="C42" s="2"/>
      <c r="D42" s="3"/>
      <c r="E42" s="3"/>
      <c r="F42" s="3"/>
      <c r="G42" s="3"/>
      <c r="H42" s="3"/>
      <c r="I42" s="3"/>
      <c r="J42" s="3"/>
      <c r="K42" s="3" t="str">
        <f t="shared" si="9"/>
        <v>-</v>
      </c>
      <c r="L42" s="3" t="str">
        <f t="shared" si="10"/>
        <v>-</v>
      </c>
    </row>
    <row r="43" spans="1:12" x14ac:dyDescent="0.25">
      <c r="A43" s="10" t="s">
        <v>45</v>
      </c>
      <c r="B43" s="11">
        <f t="shared" ref="B43:J43" si="11">B38+B32+B30+B28+B16+B8</f>
        <v>17</v>
      </c>
      <c r="C43" s="11">
        <f t="shared" si="11"/>
        <v>48</v>
      </c>
      <c r="D43" s="11">
        <f t="shared" si="11"/>
        <v>6500000</v>
      </c>
      <c r="E43" s="11">
        <f t="shared" si="11"/>
        <v>6500000</v>
      </c>
      <c r="F43" s="11">
        <f t="shared" si="11"/>
        <v>1662000</v>
      </c>
      <c r="G43" s="11">
        <f t="shared" si="11"/>
        <v>770000</v>
      </c>
      <c r="H43" s="11">
        <f t="shared" si="11"/>
        <v>520000</v>
      </c>
      <c r="I43" s="11">
        <f t="shared" si="11"/>
        <v>320000</v>
      </c>
      <c r="J43" s="11">
        <f t="shared" si="11"/>
        <v>3272000</v>
      </c>
      <c r="K43" s="11">
        <f t="shared" si="9"/>
        <v>0.50338461538461543</v>
      </c>
      <c r="L43" s="11">
        <f t="shared" si="10"/>
        <v>0.50338461538461543</v>
      </c>
    </row>
  </sheetData>
  <mergeCells count="1">
    <mergeCell ref="A2:J2"/>
  </mergeCells>
  <phoneticPr fontId="0" type="noConversion"/>
  <pageMargins left="0.51174154431801144" right="0" top="0.55131996710469411" bottom="0" header="0" footer="0"/>
  <pageSetup paperSize="9" scale="71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9"/>
  <sheetViews>
    <sheetView tabSelected="1" topLeftCell="A159" zoomScale="65" zoomScaleNormal="65" workbookViewId="0">
      <selection activeCell="I174" sqref="I174"/>
    </sheetView>
  </sheetViews>
  <sheetFormatPr defaultColWidth="25.28515625" defaultRowHeight="20.25" x14ac:dyDescent="0.3"/>
  <cols>
    <col min="1" max="2" width="25.28515625" style="18"/>
    <col min="3" max="3" width="27.85546875" style="18" customWidth="1"/>
    <col min="4" max="16384" width="25.28515625" style="18"/>
  </cols>
  <sheetData>
    <row r="1" spans="1:6" ht="21" customHeight="1" x14ac:dyDescent="0.3">
      <c r="B1" s="17" t="s">
        <v>0</v>
      </c>
    </row>
    <row r="3" spans="1:6" ht="18.75" customHeight="1" x14ac:dyDescent="0.3">
      <c r="A3" s="19" t="s">
        <v>46</v>
      </c>
      <c r="B3" s="19"/>
      <c r="C3" s="19"/>
      <c r="D3" s="19"/>
      <c r="E3" s="19"/>
      <c r="F3" s="19"/>
    </row>
    <row r="4" spans="1:6" ht="13.5" customHeight="1" x14ac:dyDescent="0.3">
      <c r="A4" s="20"/>
      <c r="B4" s="20"/>
      <c r="C4" s="20"/>
      <c r="D4" s="20"/>
      <c r="E4" s="20"/>
      <c r="F4" s="20"/>
    </row>
    <row r="5" spans="1:6" ht="13.5" customHeight="1" x14ac:dyDescent="0.3">
      <c r="B5" s="21" t="s">
        <v>2</v>
      </c>
      <c r="C5" s="20"/>
      <c r="D5" s="20"/>
      <c r="E5" s="20"/>
      <c r="F5" s="20"/>
    </row>
    <row r="6" spans="1:6" x14ac:dyDescent="0.3">
      <c r="A6" s="22" t="s">
        <v>17</v>
      </c>
    </row>
    <row r="7" spans="1:6" ht="30" customHeight="1" x14ac:dyDescent="0.3">
      <c r="A7" s="23" t="s">
        <v>47</v>
      </c>
      <c r="B7" s="23" t="s">
        <v>48</v>
      </c>
      <c r="C7" s="23" t="s">
        <v>49</v>
      </c>
      <c r="D7" s="23" t="s">
        <v>50</v>
      </c>
      <c r="E7" s="23" t="s">
        <v>51</v>
      </c>
      <c r="F7" s="23" t="s">
        <v>52</v>
      </c>
    </row>
    <row r="8" spans="1:6" x14ac:dyDescent="0.3">
      <c r="A8" s="24" t="s">
        <v>53</v>
      </c>
      <c r="B8" s="25">
        <f t="shared" ref="B8:D17" si="0">B24+B40+B56+B104+B72+B88</f>
        <v>0</v>
      </c>
      <c r="C8" s="25">
        <f t="shared" si="0"/>
        <v>0</v>
      </c>
      <c r="D8" s="25">
        <f t="shared" si="0"/>
        <v>0</v>
      </c>
      <c r="E8" s="24"/>
      <c r="F8" s="25">
        <f t="shared" ref="F8:F17" si="1">D8*E8</f>
        <v>0</v>
      </c>
    </row>
    <row r="9" spans="1:6" x14ac:dyDescent="0.3">
      <c r="A9" s="24" t="s">
        <v>54</v>
      </c>
      <c r="B9" s="25">
        <f t="shared" si="0"/>
        <v>0</v>
      </c>
      <c r="C9" s="25">
        <f t="shared" si="0"/>
        <v>0</v>
      </c>
      <c r="D9" s="25">
        <f t="shared" si="0"/>
        <v>0</v>
      </c>
      <c r="E9" s="24"/>
      <c r="F9" s="25">
        <f t="shared" si="1"/>
        <v>0</v>
      </c>
    </row>
    <row r="10" spans="1:6" x14ac:dyDescent="0.3">
      <c r="A10" s="24" t="s">
        <v>55</v>
      </c>
      <c r="B10" s="25">
        <f t="shared" si="0"/>
        <v>0</v>
      </c>
      <c r="C10" s="25">
        <f t="shared" si="0"/>
        <v>0</v>
      </c>
      <c r="D10" s="25">
        <f t="shared" si="0"/>
        <v>0</v>
      </c>
      <c r="E10" s="24"/>
      <c r="F10" s="25">
        <f t="shared" si="1"/>
        <v>0</v>
      </c>
    </row>
    <row r="11" spans="1:6" x14ac:dyDescent="0.3">
      <c r="A11" s="24" t="s">
        <v>56</v>
      </c>
      <c r="B11" s="25">
        <f t="shared" si="0"/>
        <v>0</v>
      </c>
      <c r="C11" s="25">
        <f t="shared" si="0"/>
        <v>0</v>
      </c>
      <c r="D11" s="25">
        <f t="shared" si="0"/>
        <v>0</v>
      </c>
      <c r="E11" s="24"/>
      <c r="F11" s="25">
        <f t="shared" si="1"/>
        <v>0</v>
      </c>
    </row>
    <row r="12" spans="1:6" x14ac:dyDescent="0.3">
      <c r="A12" s="24" t="s">
        <v>57</v>
      </c>
      <c r="B12" s="25">
        <f t="shared" si="0"/>
        <v>0</v>
      </c>
      <c r="C12" s="25">
        <f t="shared" si="0"/>
        <v>0</v>
      </c>
      <c r="D12" s="25">
        <f t="shared" si="0"/>
        <v>0</v>
      </c>
      <c r="E12" s="24"/>
      <c r="F12" s="25">
        <f t="shared" si="1"/>
        <v>0</v>
      </c>
    </row>
    <row r="13" spans="1:6" x14ac:dyDescent="0.3">
      <c r="A13" s="24" t="s">
        <v>58</v>
      </c>
      <c r="B13" s="25">
        <f t="shared" si="0"/>
        <v>0</v>
      </c>
      <c r="C13" s="25">
        <f t="shared" si="0"/>
        <v>0</v>
      </c>
      <c r="D13" s="25">
        <f t="shared" si="0"/>
        <v>0</v>
      </c>
      <c r="E13" s="24"/>
      <c r="F13" s="25">
        <f t="shared" si="1"/>
        <v>0</v>
      </c>
    </row>
    <row r="14" spans="1:6" x14ac:dyDescent="0.3">
      <c r="A14" s="24" t="s">
        <v>59</v>
      </c>
      <c r="B14" s="25">
        <f t="shared" si="0"/>
        <v>0</v>
      </c>
      <c r="C14" s="25">
        <f t="shared" si="0"/>
        <v>0</v>
      </c>
      <c r="D14" s="25">
        <f t="shared" si="0"/>
        <v>0</v>
      </c>
      <c r="E14" s="24"/>
      <c r="F14" s="25">
        <f t="shared" si="1"/>
        <v>0</v>
      </c>
    </row>
    <row r="15" spans="1:6" x14ac:dyDescent="0.3">
      <c r="A15" s="24" t="s">
        <v>60</v>
      </c>
      <c r="B15" s="25">
        <f t="shared" si="0"/>
        <v>0</v>
      </c>
      <c r="C15" s="25">
        <f t="shared" si="0"/>
        <v>0</v>
      </c>
      <c r="D15" s="25">
        <f t="shared" si="0"/>
        <v>0</v>
      </c>
      <c r="E15" s="24"/>
      <c r="F15" s="25">
        <f t="shared" si="1"/>
        <v>0</v>
      </c>
    </row>
    <row r="16" spans="1:6" x14ac:dyDescent="0.3">
      <c r="A16" s="24" t="s">
        <v>60</v>
      </c>
      <c r="B16" s="25">
        <f t="shared" si="0"/>
        <v>0</v>
      </c>
      <c r="C16" s="25">
        <f t="shared" si="0"/>
        <v>0</v>
      </c>
      <c r="D16" s="25">
        <f t="shared" si="0"/>
        <v>0</v>
      </c>
      <c r="E16" s="24"/>
      <c r="F16" s="25">
        <f t="shared" si="1"/>
        <v>0</v>
      </c>
    </row>
    <row r="17" spans="1:6" x14ac:dyDescent="0.3">
      <c r="A17" s="24" t="s">
        <v>61</v>
      </c>
      <c r="B17" s="25">
        <f t="shared" si="0"/>
        <v>0</v>
      </c>
      <c r="C17" s="25">
        <f t="shared" si="0"/>
        <v>0</v>
      </c>
      <c r="D17" s="25">
        <f t="shared" si="0"/>
        <v>0</v>
      </c>
      <c r="E17" s="24"/>
      <c r="F17" s="25">
        <f t="shared" si="1"/>
        <v>0</v>
      </c>
    </row>
    <row r="18" spans="1:6" x14ac:dyDescent="0.3">
      <c r="A18" s="24"/>
      <c r="B18" s="25"/>
      <c r="C18" s="25"/>
      <c r="D18" s="25"/>
      <c r="E18" s="24"/>
      <c r="F18" s="25"/>
    </row>
    <row r="19" spans="1:6" ht="15.75" customHeight="1" x14ac:dyDescent="0.3">
      <c r="A19" s="26" t="s">
        <v>62</v>
      </c>
      <c r="B19" s="27"/>
      <c r="C19" s="27"/>
      <c r="D19" s="27"/>
      <c r="E19" s="27"/>
      <c r="F19" s="28">
        <f>SUM(F8:F18)</f>
        <v>0</v>
      </c>
    </row>
    <row r="22" spans="1:6" x14ac:dyDescent="0.3">
      <c r="A22" s="29" t="s">
        <v>18</v>
      </c>
    </row>
    <row r="23" spans="1:6" ht="30" customHeight="1" x14ac:dyDescent="0.3">
      <c r="A23" s="30" t="s">
        <v>47</v>
      </c>
      <c r="B23" s="30" t="s">
        <v>48</v>
      </c>
      <c r="C23" s="30" t="s">
        <v>49</v>
      </c>
      <c r="D23" s="30" t="s">
        <v>50</v>
      </c>
      <c r="E23" s="30" t="s">
        <v>51</v>
      </c>
      <c r="F23" s="30" t="s">
        <v>52</v>
      </c>
    </row>
    <row r="24" spans="1:6" x14ac:dyDescent="0.3">
      <c r="A24" s="24" t="s">
        <v>53</v>
      </c>
      <c r="B24" s="24"/>
      <c r="C24" s="24"/>
      <c r="D24" s="24"/>
      <c r="E24" s="24"/>
      <c r="F24" s="25">
        <f t="shared" ref="F24:F33" si="2">D24*E24</f>
        <v>0</v>
      </c>
    </row>
    <row r="25" spans="1:6" x14ac:dyDescent="0.3">
      <c r="A25" s="24" t="s">
        <v>54</v>
      </c>
      <c r="B25" s="24"/>
      <c r="C25" s="24"/>
      <c r="D25" s="24"/>
      <c r="E25" s="24"/>
      <c r="F25" s="25">
        <f t="shared" si="2"/>
        <v>0</v>
      </c>
    </row>
    <row r="26" spans="1:6" x14ac:dyDescent="0.3">
      <c r="A26" s="24" t="s">
        <v>55</v>
      </c>
      <c r="B26" s="24"/>
      <c r="C26" s="24"/>
      <c r="D26" s="24"/>
      <c r="E26" s="24"/>
      <c r="F26" s="25">
        <f t="shared" si="2"/>
        <v>0</v>
      </c>
    </row>
    <row r="27" spans="1:6" x14ac:dyDescent="0.3">
      <c r="A27" s="24" t="s">
        <v>56</v>
      </c>
      <c r="B27" s="24"/>
      <c r="C27" s="24"/>
      <c r="D27" s="24"/>
      <c r="E27" s="24"/>
      <c r="F27" s="25">
        <f t="shared" si="2"/>
        <v>0</v>
      </c>
    </row>
    <row r="28" spans="1:6" x14ac:dyDescent="0.3">
      <c r="A28" s="24" t="s">
        <v>57</v>
      </c>
      <c r="B28" s="24"/>
      <c r="C28" s="24"/>
      <c r="D28" s="24"/>
      <c r="E28" s="24"/>
      <c r="F28" s="25">
        <f t="shared" si="2"/>
        <v>0</v>
      </c>
    </row>
    <row r="29" spans="1:6" x14ac:dyDescent="0.3">
      <c r="A29" s="24" t="s">
        <v>58</v>
      </c>
      <c r="B29" s="24"/>
      <c r="C29" s="24"/>
      <c r="D29" s="24"/>
      <c r="E29" s="24"/>
      <c r="F29" s="25">
        <f t="shared" si="2"/>
        <v>0</v>
      </c>
    </row>
    <row r="30" spans="1:6" x14ac:dyDescent="0.3">
      <c r="A30" s="24" t="s">
        <v>59</v>
      </c>
      <c r="B30" s="24"/>
      <c r="C30" s="24"/>
      <c r="D30" s="24"/>
      <c r="E30" s="24"/>
      <c r="F30" s="25">
        <f t="shared" si="2"/>
        <v>0</v>
      </c>
    </row>
    <row r="31" spans="1:6" x14ac:dyDescent="0.3">
      <c r="A31" s="24" t="s">
        <v>60</v>
      </c>
      <c r="B31" s="24"/>
      <c r="C31" s="24"/>
      <c r="D31" s="24"/>
      <c r="E31" s="24"/>
      <c r="F31" s="25">
        <f t="shared" si="2"/>
        <v>0</v>
      </c>
    </row>
    <row r="32" spans="1:6" x14ac:dyDescent="0.3">
      <c r="A32" s="24" t="s">
        <v>60</v>
      </c>
      <c r="B32" s="24"/>
      <c r="C32" s="24"/>
      <c r="D32" s="24"/>
      <c r="E32" s="24"/>
      <c r="F32" s="25">
        <f t="shared" si="2"/>
        <v>0</v>
      </c>
    </row>
    <row r="33" spans="1:6" x14ac:dyDescent="0.3">
      <c r="A33" s="24" t="s">
        <v>61</v>
      </c>
      <c r="B33" s="24"/>
      <c r="C33" s="24"/>
      <c r="D33" s="24"/>
      <c r="E33" s="24"/>
      <c r="F33" s="25">
        <f t="shared" si="2"/>
        <v>0</v>
      </c>
    </row>
    <row r="34" spans="1:6" x14ac:dyDescent="0.3">
      <c r="A34" s="24"/>
      <c r="B34" s="24"/>
      <c r="C34" s="24"/>
      <c r="D34" s="24"/>
      <c r="E34" s="24"/>
      <c r="F34" s="25"/>
    </row>
    <row r="35" spans="1:6" ht="15.75" customHeight="1" x14ac:dyDescent="0.3">
      <c r="A35" s="26" t="s">
        <v>62</v>
      </c>
      <c r="B35" s="27"/>
      <c r="C35" s="27"/>
      <c r="D35" s="27"/>
      <c r="E35" s="27"/>
      <c r="F35" s="28">
        <f>SUM(F24:F34)</f>
        <v>0</v>
      </c>
    </row>
    <row r="38" spans="1:6" x14ac:dyDescent="0.3">
      <c r="A38" s="17" t="s">
        <v>19</v>
      </c>
    </row>
    <row r="39" spans="1:6" ht="30" customHeight="1" x14ac:dyDescent="0.3">
      <c r="A39" s="30" t="s">
        <v>47</v>
      </c>
      <c r="B39" s="30" t="s">
        <v>48</v>
      </c>
      <c r="C39" s="30" t="s">
        <v>49</v>
      </c>
      <c r="D39" s="30" t="s">
        <v>50</v>
      </c>
      <c r="E39" s="30" t="s">
        <v>51</v>
      </c>
      <c r="F39" s="30" t="s">
        <v>52</v>
      </c>
    </row>
    <row r="40" spans="1:6" x14ac:dyDescent="0.3">
      <c r="A40" s="24" t="s">
        <v>53</v>
      </c>
      <c r="B40" s="24"/>
      <c r="C40" s="24"/>
      <c r="D40" s="24"/>
      <c r="E40" s="24"/>
      <c r="F40" s="25">
        <f t="shared" ref="F40:F49" si="3">D40*E40</f>
        <v>0</v>
      </c>
    </row>
    <row r="41" spans="1:6" x14ac:dyDescent="0.3">
      <c r="A41" s="24" t="s">
        <v>54</v>
      </c>
      <c r="B41" s="24"/>
      <c r="C41" s="24"/>
      <c r="D41" s="24"/>
      <c r="E41" s="24"/>
      <c r="F41" s="25">
        <f t="shared" si="3"/>
        <v>0</v>
      </c>
    </row>
    <row r="42" spans="1:6" x14ac:dyDescent="0.3">
      <c r="A42" s="24" t="s">
        <v>55</v>
      </c>
      <c r="B42" s="24"/>
      <c r="C42" s="24"/>
      <c r="D42" s="24"/>
      <c r="E42" s="24"/>
      <c r="F42" s="25">
        <f t="shared" si="3"/>
        <v>0</v>
      </c>
    </row>
    <row r="43" spans="1:6" x14ac:dyDescent="0.3">
      <c r="A43" s="24" t="s">
        <v>56</v>
      </c>
      <c r="B43" s="24"/>
      <c r="C43" s="24"/>
      <c r="D43" s="24"/>
      <c r="E43" s="24"/>
      <c r="F43" s="25">
        <f t="shared" si="3"/>
        <v>0</v>
      </c>
    </row>
    <row r="44" spans="1:6" x14ac:dyDescent="0.3">
      <c r="A44" s="24" t="s">
        <v>57</v>
      </c>
      <c r="B44" s="24"/>
      <c r="C44" s="24"/>
      <c r="D44" s="24"/>
      <c r="E44" s="24"/>
      <c r="F44" s="25">
        <f t="shared" si="3"/>
        <v>0</v>
      </c>
    </row>
    <row r="45" spans="1:6" x14ac:dyDescent="0.3">
      <c r="A45" s="24" t="s">
        <v>58</v>
      </c>
      <c r="B45" s="24"/>
      <c r="C45" s="24"/>
      <c r="D45" s="24"/>
      <c r="E45" s="24"/>
      <c r="F45" s="25">
        <f t="shared" si="3"/>
        <v>0</v>
      </c>
    </row>
    <row r="46" spans="1:6" x14ac:dyDescent="0.3">
      <c r="A46" s="24" t="s">
        <v>59</v>
      </c>
      <c r="B46" s="24"/>
      <c r="C46" s="24"/>
      <c r="D46" s="24"/>
      <c r="E46" s="24"/>
      <c r="F46" s="25">
        <f t="shared" si="3"/>
        <v>0</v>
      </c>
    </row>
    <row r="47" spans="1:6" x14ac:dyDescent="0.3">
      <c r="A47" s="24" t="s">
        <v>60</v>
      </c>
      <c r="B47" s="24"/>
      <c r="C47" s="24"/>
      <c r="D47" s="24"/>
      <c r="E47" s="24"/>
      <c r="F47" s="25">
        <f t="shared" si="3"/>
        <v>0</v>
      </c>
    </row>
    <row r="48" spans="1:6" x14ac:dyDescent="0.3">
      <c r="A48" s="24" t="s">
        <v>60</v>
      </c>
      <c r="B48" s="24"/>
      <c r="C48" s="24"/>
      <c r="D48" s="24"/>
      <c r="E48" s="24"/>
      <c r="F48" s="25">
        <f t="shared" si="3"/>
        <v>0</v>
      </c>
    </row>
    <row r="49" spans="1:6" x14ac:dyDescent="0.3">
      <c r="A49" s="24" t="s">
        <v>61</v>
      </c>
      <c r="B49" s="24"/>
      <c r="C49" s="24"/>
      <c r="D49" s="24"/>
      <c r="E49" s="24"/>
      <c r="F49" s="25">
        <f t="shared" si="3"/>
        <v>0</v>
      </c>
    </row>
    <row r="50" spans="1:6" x14ac:dyDescent="0.3">
      <c r="A50" s="24"/>
      <c r="B50" s="24"/>
      <c r="C50" s="24"/>
      <c r="D50" s="24"/>
      <c r="E50" s="24"/>
      <c r="F50" s="25"/>
    </row>
    <row r="51" spans="1:6" ht="15.75" customHeight="1" x14ac:dyDescent="0.3">
      <c r="A51" s="26" t="s">
        <v>62</v>
      </c>
      <c r="B51" s="27"/>
      <c r="C51" s="27"/>
      <c r="D51" s="27"/>
      <c r="E51" s="27"/>
      <c r="F51" s="28">
        <f>SUM(F40:F50)</f>
        <v>0</v>
      </c>
    </row>
    <row r="54" spans="1:6" x14ac:dyDescent="0.3">
      <c r="A54" s="17" t="s">
        <v>20</v>
      </c>
    </row>
    <row r="55" spans="1:6" ht="30" customHeight="1" x14ac:dyDescent="0.3">
      <c r="A55" s="30" t="s">
        <v>47</v>
      </c>
      <c r="B55" s="30" t="s">
        <v>48</v>
      </c>
      <c r="C55" s="30" t="s">
        <v>49</v>
      </c>
      <c r="D55" s="30" t="s">
        <v>50</v>
      </c>
      <c r="E55" s="30" t="s">
        <v>51</v>
      </c>
      <c r="F55" s="30" t="s">
        <v>52</v>
      </c>
    </row>
    <row r="56" spans="1:6" x14ac:dyDescent="0.3">
      <c r="A56" s="24" t="s">
        <v>53</v>
      </c>
      <c r="B56" s="24"/>
      <c r="C56" s="24"/>
      <c r="D56" s="24"/>
      <c r="E56" s="24"/>
      <c r="F56" s="25">
        <f t="shared" ref="F56:F65" si="4">D56*E56</f>
        <v>0</v>
      </c>
    </row>
    <row r="57" spans="1:6" x14ac:dyDescent="0.3">
      <c r="A57" s="24" t="s">
        <v>54</v>
      </c>
      <c r="B57" s="24"/>
      <c r="C57" s="24"/>
      <c r="D57" s="24"/>
      <c r="E57" s="24"/>
      <c r="F57" s="25">
        <f t="shared" si="4"/>
        <v>0</v>
      </c>
    </row>
    <row r="58" spans="1:6" x14ac:dyDescent="0.3">
      <c r="A58" s="24" t="s">
        <v>55</v>
      </c>
      <c r="B58" s="24"/>
      <c r="C58" s="24"/>
      <c r="D58" s="24"/>
      <c r="E58" s="24"/>
      <c r="F58" s="25">
        <f t="shared" si="4"/>
        <v>0</v>
      </c>
    </row>
    <row r="59" spans="1:6" x14ac:dyDescent="0.3">
      <c r="A59" s="24" t="s">
        <v>56</v>
      </c>
      <c r="B59" s="24"/>
      <c r="C59" s="24"/>
      <c r="D59" s="24"/>
      <c r="E59" s="24"/>
      <c r="F59" s="25">
        <f t="shared" si="4"/>
        <v>0</v>
      </c>
    </row>
    <row r="60" spans="1:6" x14ac:dyDescent="0.3">
      <c r="A60" s="24" t="s">
        <v>57</v>
      </c>
      <c r="B60" s="24"/>
      <c r="C60" s="24"/>
      <c r="D60" s="24"/>
      <c r="E60" s="24"/>
      <c r="F60" s="25">
        <f t="shared" si="4"/>
        <v>0</v>
      </c>
    </row>
    <row r="61" spans="1:6" x14ac:dyDescent="0.3">
      <c r="A61" s="24" t="s">
        <v>58</v>
      </c>
      <c r="B61" s="24"/>
      <c r="C61" s="24"/>
      <c r="D61" s="24"/>
      <c r="E61" s="24"/>
      <c r="F61" s="25">
        <f t="shared" si="4"/>
        <v>0</v>
      </c>
    </row>
    <row r="62" spans="1:6" x14ac:dyDescent="0.3">
      <c r="A62" s="24" t="s">
        <v>59</v>
      </c>
      <c r="B62" s="24"/>
      <c r="C62" s="24"/>
      <c r="D62" s="24"/>
      <c r="E62" s="24"/>
      <c r="F62" s="25">
        <f t="shared" si="4"/>
        <v>0</v>
      </c>
    </row>
    <row r="63" spans="1:6" x14ac:dyDescent="0.3">
      <c r="A63" s="24" t="s">
        <v>60</v>
      </c>
      <c r="B63" s="24"/>
      <c r="C63" s="24"/>
      <c r="D63" s="24"/>
      <c r="E63" s="24"/>
      <c r="F63" s="25">
        <f t="shared" si="4"/>
        <v>0</v>
      </c>
    </row>
    <row r="64" spans="1:6" x14ac:dyDescent="0.3">
      <c r="A64" s="24" t="s">
        <v>60</v>
      </c>
      <c r="B64" s="24"/>
      <c r="C64" s="24"/>
      <c r="D64" s="24"/>
      <c r="E64" s="24"/>
      <c r="F64" s="25">
        <f t="shared" si="4"/>
        <v>0</v>
      </c>
    </row>
    <row r="65" spans="1:6" x14ac:dyDescent="0.3">
      <c r="A65" s="24" t="s">
        <v>61</v>
      </c>
      <c r="B65" s="24"/>
      <c r="C65" s="24"/>
      <c r="D65" s="24"/>
      <c r="E65" s="24"/>
      <c r="F65" s="25">
        <f t="shared" si="4"/>
        <v>0</v>
      </c>
    </row>
    <row r="66" spans="1:6" x14ac:dyDescent="0.3">
      <c r="A66" s="24"/>
      <c r="B66" s="24"/>
      <c r="C66" s="24"/>
      <c r="D66" s="24"/>
      <c r="E66" s="24"/>
      <c r="F66" s="25"/>
    </row>
    <row r="67" spans="1:6" ht="15.75" customHeight="1" x14ac:dyDescent="0.3">
      <c r="A67" s="26" t="s">
        <v>62</v>
      </c>
      <c r="B67" s="27"/>
      <c r="C67" s="27"/>
      <c r="D67" s="27"/>
      <c r="E67" s="27"/>
      <c r="F67" s="28">
        <f>SUM(F56:F66)</f>
        <v>0</v>
      </c>
    </row>
    <row r="70" spans="1:6" x14ac:dyDescent="0.3">
      <c r="A70" s="17" t="s">
        <v>21</v>
      </c>
    </row>
    <row r="71" spans="1:6" ht="30" customHeight="1" x14ac:dyDescent="0.3">
      <c r="A71" s="30" t="s">
        <v>47</v>
      </c>
      <c r="B71" s="30" t="s">
        <v>48</v>
      </c>
      <c r="C71" s="30" t="s">
        <v>49</v>
      </c>
      <c r="D71" s="30" t="s">
        <v>50</v>
      </c>
      <c r="E71" s="30" t="s">
        <v>51</v>
      </c>
      <c r="F71" s="30" t="s">
        <v>52</v>
      </c>
    </row>
    <row r="72" spans="1:6" x14ac:dyDescent="0.3">
      <c r="A72" s="24" t="s">
        <v>53</v>
      </c>
      <c r="B72" s="24"/>
      <c r="C72" s="24"/>
      <c r="D72" s="24"/>
      <c r="E72" s="24"/>
      <c r="F72" s="25">
        <f t="shared" ref="F72:F81" si="5">D72*E72</f>
        <v>0</v>
      </c>
    </row>
    <row r="73" spans="1:6" x14ac:dyDescent="0.3">
      <c r="A73" s="24" t="s">
        <v>54</v>
      </c>
      <c r="B73" s="24"/>
      <c r="C73" s="24"/>
      <c r="D73" s="24"/>
      <c r="E73" s="24"/>
      <c r="F73" s="25">
        <f t="shared" si="5"/>
        <v>0</v>
      </c>
    </row>
    <row r="74" spans="1:6" x14ac:dyDescent="0.3">
      <c r="A74" s="24" t="s">
        <v>55</v>
      </c>
      <c r="B74" s="24"/>
      <c r="C74" s="24"/>
      <c r="D74" s="24"/>
      <c r="E74" s="24"/>
      <c r="F74" s="25">
        <f t="shared" si="5"/>
        <v>0</v>
      </c>
    </row>
    <row r="75" spans="1:6" x14ac:dyDescent="0.3">
      <c r="A75" s="24" t="s">
        <v>56</v>
      </c>
      <c r="B75" s="24"/>
      <c r="C75" s="24"/>
      <c r="D75" s="24"/>
      <c r="E75" s="24"/>
      <c r="F75" s="25">
        <f t="shared" si="5"/>
        <v>0</v>
      </c>
    </row>
    <row r="76" spans="1:6" x14ac:dyDescent="0.3">
      <c r="A76" s="24" t="s">
        <v>57</v>
      </c>
      <c r="B76" s="24"/>
      <c r="C76" s="24"/>
      <c r="D76" s="24"/>
      <c r="E76" s="24"/>
      <c r="F76" s="25">
        <f t="shared" si="5"/>
        <v>0</v>
      </c>
    </row>
    <row r="77" spans="1:6" x14ac:dyDescent="0.3">
      <c r="A77" s="24" t="s">
        <v>58</v>
      </c>
      <c r="B77" s="24"/>
      <c r="C77" s="24"/>
      <c r="D77" s="24"/>
      <c r="E77" s="24"/>
      <c r="F77" s="25">
        <f t="shared" si="5"/>
        <v>0</v>
      </c>
    </row>
    <row r="78" spans="1:6" x14ac:dyDescent="0.3">
      <c r="A78" s="24" t="s">
        <v>59</v>
      </c>
      <c r="B78" s="24"/>
      <c r="C78" s="24"/>
      <c r="D78" s="24"/>
      <c r="E78" s="24"/>
      <c r="F78" s="25">
        <f t="shared" si="5"/>
        <v>0</v>
      </c>
    </row>
    <row r="79" spans="1:6" x14ac:dyDescent="0.3">
      <c r="A79" s="24" t="s">
        <v>60</v>
      </c>
      <c r="B79" s="24"/>
      <c r="C79" s="24"/>
      <c r="D79" s="24"/>
      <c r="E79" s="24"/>
      <c r="F79" s="25">
        <f t="shared" si="5"/>
        <v>0</v>
      </c>
    </row>
    <row r="80" spans="1:6" x14ac:dyDescent="0.3">
      <c r="A80" s="24" t="s">
        <v>60</v>
      </c>
      <c r="B80" s="24"/>
      <c r="C80" s="24"/>
      <c r="D80" s="24"/>
      <c r="E80" s="24"/>
      <c r="F80" s="25">
        <f t="shared" si="5"/>
        <v>0</v>
      </c>
    </row>
    <row r="81" spans="1:6" x14ac:dyDescent="0.3">
      <c r="A81" s="24" t="s">
        <v>61</v>
      </c>
      <c r="B81" s="24"/>
      <c r="C81" s="24"/>
      <c r="D81" s="24"/>
      <c r="E81" s="24"/>
      <c r="F81" s="25">
        <f t="shared" si="5"/>
        <v>0</v>
      </c>
    </row>
    <row r="82" spans="1:6" x14ac:dyDescent="0.3">
      <c r="A82" s="24"/>
      <c r="B82" s="24"/>
      <c r="C82" s="24"/>
      <c r="D82" s="24"/>
      <c r="E82" s="24"/>
      <c r="F82" s="25"/>
    </row>
    <row r="83" spans="1:6" ht="15.75" customHeight="1" x14ac:dyDescent="0.3">
      <c r="A83" s="26" t="s">
        <v>62</v>
      </c>
      <c r="B83" s="27"/>
      <c r="C83" s="27"/>
      <c r="D83" s="27"/>
      <c r="E83" s="27"/>
      <c r="F83" s="28">
        <f>SUM(F72:F82)</f>
        <v>0</v>
      </c>
    </row>
    <row r="86" spans="1:6" x14ac:dyDescent="0.3">
      <c r="A86" s="17" t="s">
        <v>22</v>
      </c>
    </row>
    <row r="87" spans="1:6" ht="30" customHeight="1" x14ac:dyDescent="0.3">
      <c r="A87" s="30" t="s">
        <v>47</v>
      </c>
      <c r="B87" s="30" t="s">
        <v>48</v>
      </c>
      <c r="C87" s="30" t="s">
        <v>49</v>
      </c>
      <c r="D87" s="30" t="s">
        <v>50</v>
      </c>
      <c r="E87" s="30" t="s">
        <v>51</v>
      </c>
      <c r="F87" s="30" t="s">
        <v>52</v>
      </c>
    </row>
    <row r="88" spans="1:6" x14ac:dyDescent="0.3">
      <c r="A88" s="24" t="s">
        <v>53</v>
      </c>
      <c r="B88" s="24"/>
      <c r="C88" s="24"/>
      <c r="D88" s="24"/>
      <c r="E88" s="24"/>
      <c r="F88" s="25">
        <f t="shared" ref="F88:F97" si="6">D88*E88</f>
        <v>0</v>
      </c>
    </row>
    <row r="89" spans="1:6" x14ac:dyDescent="0.3">
      <c r="A89" s="24" t="s">
        <v>54</v>
      </c>
      <c r="B89" s="24"/>
      <c r="C89" s="24"/>
      <c r="D89" s="24"/>
      <c r="E89" s="24"/>
      <c r="F89" s="25">
        <f t="shared" si="6"/>
        <v>0</v>
      </c>
    </row>
    <row r="90" spans="1:6" x14ac:dyDescent="0.3">
      <c r="A90" s="24" t="s">
        <v>55</v>
      </c>
      <c r="B90" s="24"/>
      <c r="C90" s="24"/>
      <c r="D90" s="24"/>
      <c r="E90" s="24"/>
      <c r="F90" s="25">
        <f t="shared" si="6"/>
        <v>0</v>
      </c>
    </row>
    <row r="91" spans="1:6" x14ac:dyDescent="0.3">
      <c r="A91" s="24" t="s">
        <v>56</v>
      </c>
      <c r="B91" s="24"/>
      <c r="C91" s="24"/>
      <c r="D91" s="24"/>
      <c r="E91" s="24"/>
      <c r="F91" s="25">
        <f t="shared" si="6"/>
        <v>0</v>
      </c>
    </row>
    <row r="92" spans="1:6" x14ac:dyDescent="0.3">
      <c r="A92" s="24" t="s">
        <v>57</v>
      </c>
      <c r="B92" s="24"/>
      <c r="C92" s="24"/>
      <c r="D92" s="24"/>
      <c r="E92" s="24"/>
      <c r="F92" s="25">
        <f t="shared" si="6"/>
        <v>0</v>
      </c>
    </row>
    <row r="93" spans="1:6" x14ac:dyDescent="0.3">
      <c r="A93" s="24" t="s">
        <v>58</v>
      </c>
      <c r="B93" s="24"/>
      <c r="C93" s="24"/>
      <c r="D93" s="24"/>
      <c r="E93" s="24"/>
      <c r="F93" s="25">
        <f t="shared" si="6"/>
        <v>0</v>
      </c>
    </row>
    <row r="94" spans="1:6" x14ac:dyDescent="0.3">
      <c r="A94" s="24" t="s">
        <v>59</v>
      </c>
      <c r="B94" s="24"/>
      <c r="C94" s="24"/>
      <c r="D94" s="24"/>
      <c r="E94" s="24"/>
      <c r="F94" s="25">
        <f t="shared" si="6"/>
        <v>0</v>
      </c>
    </row>
    <row r="95" spans="1:6" x14ac:dyDescent="0.3">
      <c r="A95" s="24" t="s">
        <v>60</v>
      </c>
      <c r="B95" s="24"/>
      <c r="C95" s="24"/>
      <c r="D95" s="24"/>
      <c r="E95" s="24"/>
      <c r="F95" s="25">
        <f t="shared" si="6"/>
        <v>0</v>
      </c>
    </row>
    <row r="96" spans="1:6" x14ac:dyDescent="0.3">
      <c r="A96" s="24" t="s">
        <v>60</v>
      </c>
      <c r="B96" s="24"/>
      <c r="C96" s="24"/>
      <c r="D96" s="24"/>
      <c r="E96" s="24"/>
      <c r="F96" s="25">
        <f t="shared" si="6"/>
        <v>0</v>
      </c>
    </row>
    <row r="97" spans="1:6" x14ac:dyDescent="0.3">
      <c r="A97" s="24" t="s">
        <v>61</v>
      </c>
      <c r="B97" s="24"/>
      <c r="C97" s="24"/>
      <c r="D97" s="24"/>
      <c r="E97" s="24"/>
      <c r="F97" s="25">
        <f t="shared" si="6"/>
        <v>0</v>
      </c>
    </row>
    <row r="98" spans="1:6" x14ac:dyDescent="0.3">
      <c r="A98" s="24"/>
      <c r="B98" s="24"/>
      <c r="C98" s="24"/>
      <c r="D98" s="24"/>
      <c r="E98" s="24"/>
      <c r="F98" s="25"/>
    </row>
    <row r="99" spans="1:6" ht="15.75" customHeight="1" x14ac:dyDescent="0.3">
      <c r="A99" s="26" t="s">
        <v>62</v>
      </c>
      <c r="B99" s="27"/>
      <c r="C99" s="27"/>
      <c r="D99" s="27"/>
      <c r="E99" s="27"/>
      <c r="F99" s="28">
        <f>SUM(F88:F98)</f>
        <v>0</v>
      </c>
    </row>
    <row r="102" spans="1:6" x14ac:dyDescent="0.3">
      <c r="A102" s="17" t="s">
        <v>23</v>
      </c>
    </row>
    <row r="103" spans="1:6" ht="30" customHeight="1" x14ac:dyDescent="0.3">
      <c r="A103" s="30" t="s">
        <v>47</v>
      </c>
      <c r="B103" s="30" t="s">
        <v>48</v>
      </c>
      <c r="C103" s="30" t="s">
        <v>49</v>
      </c>
      <c r="D103" s="30" t="s">
        <v>50</v>
      </c>
      <c r="E103" s="30" t="s">
        <v>51</v>
      </c>
      <c r="F103" s="30" t="s">
        <v>52</v>
      </c>
    </row>
    <row r="104" spans="1:6" x14ac:dyDescent="0.3">
      <c r="A104" s="24" t="s">
        <v>53</v>
      </c>
      <c r="B104" s="24"/>
      <c r="C104" s="24"/>
      <c r="D104" s="24"/>
      <c r="E104" s="24"/>
      <c r="F104" s="25">
        <f t="shared" ref="F104:F113" si="7">D104*E104</f>
        <v>0</v>
      </c>
    </row>
    <row r="105" spans="1:6" x14ac:dyDescent="0.3">
      <c r="A105" s="24" t="s">
        <v>54</v>
      </c>
      <c r="B105" s="24"/>
      <c r="C105" s="24"/>
      <c r="D105" s="24"/>
      <c r="E105" s="24"/>
      <c r="F105" s="25">
        <f t="shared" si="7"/>
        <v>0</v>
      </c>
    </row>
    <row r="106" spans="1:6" x14ac:dyDescent="0.3">
      <c r="A106" s="24" t="s">
        <v>55</v>
      </c>
      <c r="B106" s="24"/>
      <c r="C106" s="24"/>
      <c r="D106" s="24"/>
      <c r="E106" s="24"/>
      <c r="F106" s="25">
        <f t="shared" si="7"/>
        <v>0</v>
      </c>
    </row>
    <row r="107" spans="1:6" x14ac:dyDescent="0.3">
      <c r="A107" s="24" t="s">
        <v>56</v>
      </c>
      <c r="B107" s="24"/>
      <c r="C107" s="24"/>
      <c r="D107" s="24"/>
      <c r="E107" s="24"/>
      <c r="F107" s="25">
        <f t="shared" si="7"/>
        <v>0</v>
      </c>
    </row>
    <row r="108" spans="1:6" x14ac:dyDescent="0.3">
      <c r="A108" s="24" t="s">
        <v>57</v>
      </c>
      <c r="B108" s="24"/>
      <c r="C108" s="24"/>
      <c r="D108" s="24"/>
      <c r="E108" s="24"/>
      <c r="F108" s="25">
        <f t="shared" si="7"/>
        <v>0</v>
      </c>
    </row>
    <row r="109" spans="1:6" x14ac:dyDescent="0.3">
      <c r="A109" s="24" t="s">
        <v>58</v>
      </c>
      <c r="B109" s="24"/>
      <c r="C109" s="24"/>
      <c r="D109" s="24"/>
      <c r="E109" s="24"/>
      <c r="F109" s="25">
        <f t="shared" si="7"/>
        <v>0</v>
      </c>
    </row>
    <row r="110" spans="1:6" x14ac:dyDescent="0.3">
      <c r="A110" s="24" t="s">
        <v>59</v>
      </c>
      <c r="B110" s="24"/>
      <c r="C110" s="24"/>
      <c r="D110" s="24"/>
      <c r="E110" s="24"/>
      <c r="F110" s="25">
        <f t="shared" si="7"/>
        <v>0</v>
      </c>
    </row>
    <row r="111" spans="1:6" x14ac:dyDescent="0.3">
      <c r="A111" s="24" t="s">
        <v>60</v>
      </c>
      <c r="B111" s="24"/>
      <c r="C111" s="24"/>
      <c r="D111" s="24"/>
      <c r="E111" s="24"/>
      <c r="F111" s="25">
        <f t="shared" si="7"/>
        <v>0</v>
      </c>
    </row>
    <row r="112" spans="1:6" x14ac:dyDescent="0.3">
      <c r="A112" s="24" t="s">
        <v>60</v>
      </c>
      <c r="B112" s="24"/>
      <c r="C112" s="24"/>
      <c r="D112" s="24"/>
      <c r="E112" s="24"/>
      <c r="F112" s="25">
        <f t="shared" si="7"/>
        <v>0</v>
      </c>
    </row>
    <row r="113" spans="1:6" x14ac:dyDescent="0.3">
      <c r="A113" s="24" t="s">
        <v>61</v>
      </c>
      <c r="B113" s="24"/>
      <c r="C113" s="24"/>
      <c r="D113" s="24"/>
      <c r="E113" s="24"/>
      <c r="F113" s="25">
        <f t="shared" si="7"/>
        <v>0</v>
      </c>
    </row>
    <row r="114" spans="1:6" x14ac:dyDescent="0.3">
      <c r="A114" s="24"/>
      <c r="B114" s="24"/>
      <c r="C114" s="24"/>
      <c r="D114" s="24"/>
      <c r="E114" s="24"/>
      <c r="F114" s="25"/>
    </row>
    <row r="115" spans="1:6" ht="15.75" customHeight="1" x14ac:dyDescent="0.3">
      <c r="A115" s="26" t="s">
        <v>62</v>
      </c>
      <c r="B115" s="27"/>
      <c r="C115" s="27"/>
      <c r="D115" s="27"/>
      <c r="E115" s="27"/>
      <c r="F115" s="28">
        <f>SUM(F104:F114)</f>
        <v>0</v>
      </c>
    </row>
    <row r="119" spans="1:6" x14ac:dyDescent="0.3">
      <c r="A119" s="17" t="s">
        <v>24</v>
      </c>
    </row>
    <row r="120" spans="1:6" ht="30" customHeight="1" x14ac:dyDescent="0.3">
      <c r="A120" s="23" t="s">
        <v>47</v>
      </c>
      <c r="B120" s="23" t="s">
        <v>48</v>
      </c>
      <c r="C120" s="23" t="s">
        <v>49</v>
      </c>
      <c r="D120" s="23" t="s">
        <v>50</v>
      </c>
      <c r="E120" s="23" t="s">
        <v>51</v>
      </c>
      <c r="F120" s="23" t="s">
        <v>52</v>
      </c>
    </row>
    <row r="121" spans="1:6" x14ac:dyDescent="0.3">
      <c r="A121" s="24" t="s">
        <v>53</v>
      </c>
      <c r="B121" s="25" t="s">
        <v>73</v>
      </c>
      <c r="C121" s="25">
        <f t="shared" ref="B121:D130" si="8">C137+C153+C169+C185+C281+C201+C217+C233+C249+C265</f>
        <v>0</v>
      </c>
      <c r="D121" s="25">
        <f t="shared" si="8"/>
        <v>0</v>
      </c>
      <c r="E121" s="24"/>
      <c r="F121" s="25">
        <f t="shared" ref="F121:F130" si="9">D121*E121</f>
        <v>0</v>
      </c>
    </row>
    <row r="122" spans="1:6" x14ac:dyDescent="0.3">
      <c r="A122" s="24" t="s">
        <v>54</v>
      </c>
      <c r="B122" s="25" t="s">
        <v>74</v>
      </c>
      <c r="C122" s="25">
        <f t="shared" si="8"/>
        <v>0</v>
      </c>
      <c r="D122" s="25">
        <f t="shared" si="8"/>
        <v>0</v>
      </c>
      <c r="E122" s="24"/>
      <c r="F122" s="25">
        <f t="shared" si="9"/>
        <v>0</v>
      </c>
    </row>
    <row r="123" spans="1:6" x14ac:dyDescent="0.3">
      <c r="A123" s="24" t="s">
        <v>55</v>
      </c>
      <c r="B123" s="25" t="s">
        <v>65</v>
      </c>
      <c r="C123" s="25">
        <f t="shared" si="8"/>
        <v>0</v>
      </c>
      <c r="D123" s="25">
        <f t="shared" si="8"/>
        <v>0</v>
      </c>
      <c r="E123" s="24"/>
      <c r="F123" s="25">
        <f t="shared" si="9"/>
        <v>0</v>
      </c>
    </row>
    <row r="124" spans="1:6" x14ac:dyDescent="0.3">
      <c r="A124" s="24" t="s">
        <v>56</v>
      </c>
      <c r="B124" s="25" t="s">
        <v>75</v>
      </c>
      <c r="C124" s="25" t="s">
        <v>77</v>
      </c>
      <c r="D124" s="25">
        <v>40</v>
      </c>
      <c r="E124" s="24">
        <v>6000</v>
      </c>
      <c r="F124" s="25">
        <f t="shared" si="9"/>
        <v>240000</v>
      </c>
    </row>
    <row r="125" spans="1:6" x14ac:dyDescent="0.3">
      <c r="A125" s="24" t="s">
        <v>57</v>
      </c>
      <c r="B125" s="25" t="s">
        <v>75</v>
      </c>
      <c r="C125" s="25" t="s">
        <v>77</v>
      </c>
      <c r="D125" s="25">
        <v>500</v>
      </c>
      <c r="E125" s="24"/>
      <c r="F125" s="25">
        <f t="shared" si="9"/>
        <v>0</v>
      </c>
    </row>
    <row r="126" spans="1:6" x14ac:dyDescent="0.3">
      <c r="A126" s="24" t="s">
        <v>58</v>
      </c>
      <c r="B126" s="25" t="s">
        <v>75</v>
      </c>
      <c r="C126" s="25" t="s">
        <v>77</v>
      </c>
      <c r="D126" s="25">
        <v>200</v>
      </c>
      <c r="E126" s="24"/>
      <c r="F126" s="25">
        <f t="shared" si="9"/>
        <v>0</v>
      </c>
    </row>
    <row r="127" spans="1:6" x14ac:dyDescent="0.3">
      <c r="A127" s="24" t="s">
        <v>59</v>
      </c>
      <c r="B127" s="25" t="s">
        <v>76</v>
      </c>
      <c r="C127" s="25">
        <f t="shared" si="8"/>
        <v>0</v>
      </c>
      <c r="D127" s="25">
        <f t="shared" si="8"/>
        <v>0</v>
      </c>
      <c r="E127" s="24"/>
      <c r="F127" s="25">
        <f t="shared" si="9"/>
        <v>0</v>
      </c>
    </row>
    <row r="128" spans="1:6" x14ac:dyDescent="0.3">
      <c r="A128" s="24" t="s">
        <v>60</v>
      </c>
      <c r="B128" s="25" t="s">
        <v>71</v>
      </c>
      <c r="C128" s="25">
        <f t="shared" si="8"/>
        <v>0</v>
      </c>
      <c r="D128" s="25">
        <f t="shared" si="8"/>
        <v>0</v>
      </c>
      <c r="E128" s="24"/>
      <c r="F128" s="25">
        <f t="shared" si="9"/>
        <v>0</v>
      </c>
    </row>
    <row r="129" spans="1:6" x14ac:dyDescent="0.3">
      <c r="A129" s="24" t="s">
        <v>60</v>
      </c>
      <c r="B129" s="25">
        <f t="shared" si="8"/>
        <v>0</v>
      </c>
      <c r="C129" s="25">
        <f t="shared" si="8"/>
        <v>0</v>
      </c>
      <c r="D129" s="25">
        <f t="shared" si="8"/>
        <v>0</v>
      </c>
      <c r="E129" s="24"/>
      <c r="F129" s="25">
        <f t="shared" si="9"/>
        <v>0</v>
      </c>
    </row>
    <row r="130" spans="1:6" x14ac:dyDescent="0.3">
      <c r="A130" s="24" t="s">
        <v>61</v>
      </c>
      <c r="B130" s="25" t="s">
        <v>74</v>
      </c>
      <c r="C130" s="25">
        <f t="shared" si="8"/>
        <v>0</v>
      </c>
      <c r="D130" s="25">
        <v>100</v>
      </c>
      <c r="E130" s="24"/>
      <c r="F130" s="25">
        <f t="shared" si="9"/>
        <v>0</v>
      </c>
    </row>
    <row r="131" spans="1:6" x14ac:dyDescent="0.3">
      <c r="A131" s="24"/>
      <c r="B131" s="24"/>
      <c r="C131" s="24"/>
      <c r="D131" s="24"/>
      <c r="E131" s="24"/>
      <c r="F131" s="25"/>
    </row>
    <row r="132" spans="1:6" ht="15.75" customHeight="1" x14ac:dyDescent="0.3">
      <c r="A132" s="26" t="s">
        <v>62</v>
      </c>
      <c r="B132" s="27"/>
      <c r="C132" s="27"/>
      <c r="D132" s="27"/>
      <c r="E132" s="27"/>
      <c r="F132" s="28">
        <f>SUM(F121:F131)</f>
        <v>240000</v>
      </c>
    </row>
    <row r="135" spans="1:6" x14ac:dyDescent="0.3">
      <c r="A135" s="29" t="s">
        <v>25</v>
      </c>
    </row>
    <row r="136" spans="1:6" ht="30" customHeight="1" x14ac:dyDescent="0.3">
      <c r="A136" s="30" t="s">
        <v>47</v>
      </c>
      <c r="B136" s="30" t="s">
        <v>48</v>
      </c>
      <c r="C136" s="30" t="s">
        <v>49</v>
      </c>
      <c r="D136" s="30" t="s">
        <v>50</v>
      </c>
      <c r="E136" s="30" t="s">
        <v>51</v>
      </c>
      <c r="F136" s="30" t="s">
        <v>52</v>
      </c>
    </row>
    <row r="137" spans="1:6" x14ac:dyDescent="0.3">
      <c r="A137" s="24" t="s">
        <v>53</v>
      </c>
      <c r="B137" s="25" t="s">
        <v>78</v>
      </c>
      <c r="C137" s="25">
        <f t="shared" ref="C137" si="10">C153+C169+C185+C201+C297+C217+C233+C249+C265+C281</f>
        <v>0</v>
      </c>
      <c r="D137" s="24"/>
      <c r="E137" s="24"/>
      <c r="F137" s="25">
        <f t="shared" ref="F137:F146" si="11">D137*E137</f>
        <v>0</v>
      </c>
    </row>
    <row r="138" spans="1:6" x14ac:dyDescent="0.3">
      <c r="A138" s="24" t="s">
        <v>54</v>
      </c>
      <c r="B138" s="25" t="s">
        <v>74</v>
      </c>
      <c r="C138" s="25">
        <f t="shared" ref="C138" si="12">C154+C170+C186+C202+C298+C218+C234+C250+C266+C282</f>
        <v>0</v>
      </c>
      <c r="D138" s="24"/>
      <c r="E138" s="24"/>
      <c r="F138" s="25">
        <f t="shared" si="11"/>
        <v>0</v>
      </c>
    </row>
    <row r="139" spans="1:6" x14ac:dyDescent="0.3">
      <c r="A139" s="24" t="s">
        <v>55</v>
      </c>
      <c r="B139" s="25" t="s">
        <v>65</v>
      </c>
      <c r="C139" s="25">
        <f t="shared" ref="C139" si="13">C155+C171+C187+C203+C299+C219+C235+C251+C267+C283</f>
        <v>0</v>
      </c>
      <c r="D139" s="24"/>
      <c r="E139" s="24"/>
      <c r="F139" s="25"/>
    </row>
    <row r="140" spans="1:6" x14ac:dyDescent="0.3">
      <c r="A140" s="24" t="s">
        <v>56</v>
      </c>
      <c r="B140" s="25" t="s">
        <v>79</v>
      </c>
      <c r="C140" s="25" t="s">
        <v>77</v>
      </c>
      <c r="D140" s="24">
        <v>20</v>
      </c>
      <c r="E140" s="24">
        <v>2000</v>
      </c>
      <c r="F140" s="25">
        <f t="shared" si="11"/>
        <v>40000</v>
      </c>
    </row>
    <row r="141" spans="1:6" x14ac:dyDescent="0.3">
      <c r="A141" s="24" t="s">
        <v>57</v>
      </c>
      <c r="B141" s="25" t="s">
        <v>79</v>
      </c>
      <c r="C141" s="25" t="s">
        <v>77</v>
      </c>
      <c r="D141" s="24">
        <v>100</v>
      </c>
      <c r="E141" s="24"/>
      <c r="F141" s="25">
        <f t="shared" si="11"/>
        <v>0</v>
      </c>
    </row>
    <row r="142" spans="1:6" x14ac:dyDescent="0.3">
      <c r="A142" s="24" t="s">
        <v>58</v>
      </c>
      <c r="B142" s="25" t="s">
        <v>79</v>
      </c>
      <c r="C142" s="25" t="s">
        <v>77</v>
      </c>
      <c r="D142" s="24">
        <v>100</v>
      </c>
      <c r="E142" s="24"/>
      <c r="F142" s="25">
        <f t="shared" si="11"/>
        <v>0</v>
      </c>
    </row>
    <row r="143" spans="1:6" x14ac:dyDescent="0.3">
      <c r="A143" s="24" t="s">
        <v>59</v>
      </c>
      <c r="B143" s="25" t="s">
        <v>76</v>
      </c>
      <c r="C143" s="25">
        <f t="shared" ref="C143" si="14">C159+C175+C191+C207+C303+C223+C239+C255+C271+C287</f>
        <v>0</v>
      </c>
      <c r="D143" s="24"/>
      <c r="E143" s="24"/>
      <c r="F143" s="25">
        <f t="shared" si="11"/>
        <v>0</v>
      </c>
    </row>
    <row r="144" spans="1:6" x14ac:dyDescent="0.3">
      <c r="A144" s="24" t="s">
        <v>60</v>
      </c>
      <c r="B144" s="25" t="s">
        <v>71</v>
      </c>
      <c r="C144" s="25">
        <f t="shared" ref="C144" si="15">C160+C176+C192+C208+C304+C224+C240+C256+C272+C288</f>
        <v>0</v>
      </c>
      <c r="D144" s="24"/>
      <c r="E144" s="24"/>
      <c r="F144" s="25">
        <f t="shared" si="11"/>
        <v>0</v>
      </c>
    </row>
    <row r="145" spans="1:6" x14ac:dyDescent="0.3">
      <c r="A145" s="24" t="s">
        <v>60</v>
      </c>
      <c r="B145" s="25">
        <f t="shared" ref="B145:C145" si="16">B161+B177+B193+B209+B305+B225+B241+B257+B273+B289</f>
        <v>0</v>
      </c>
      <c r="C145" s="25">
        <f t="shared" si="16"/>
        <v>0</v>
      </c>
      <c r="D145" s="24"/>
      <c r="E145" s="24"/>
      <c r="F145" s="25">
        <f t="shared" si="11"/>
        <v>0</v>
      </c>
    </row>
    <row r="146" spans="1:6" x14ac:dyDescent="0.3">
      <c r="A146" s="24" t="s">
        <v>61</v>
      </c>
      <c r="B146" s="25" t="s">
        <v>74</v>
      </c>
      <c r="C146" s="25">
        <f t="shared" ref="C146" si="17">C162+C178+C194+C210+C306+C226+C242+C258+C274+C290</f>
        <v>0</v>
      </c>
      <c r="D146" s="24"/>
      <c r="E146" s="24"/>
      <c r="F146" s="25">
        <f t="shared" si="11"/>
        <v>0</v>
      </c>
    </row>
    <row r="147" spans="1:6" x14ac:dyDescent="0.3">
      <c r="A147" s="24"/>
      <c r="B147" s="24"/>
      <c r="C147" s="24"/>
      <c r="D147" s="24"/>
      <c r="E147" s="24"/>
      <c r="F147" s="25"/>
    </row>
    <row r="148" spans="1:6" ht="15.75" customHeight="1" x14ac:dyDescent="0.3">
      <c r="A148" s="26" t="s">
        <v>62</v>
      </c>
      <c r="B148" s="27"/>
      <c r="C148" s="27"/>
      <c r="D148" s="27"/>
      <c r="E148" s="27"/>
      <c r="F148" s="28">
        <f>SUM(F137:F147)</f>
        <v>40000</v>
      </c>
    </row>
    <row r="149" spans="1:6" ht="15.75" customHeight="1" x14ac:dyDescent="0.3">
      <c r="A149" s="31"/>
      <c r="F149" s="32"/>
    </row>
    <row r="150" spans="1:6" ht="15.75" customHeight="1" x14ac:dyDescent="0.3">
      <c r="A150" s="31"/>
      <c r="F150" s="32"/>
    </row>
    <row r="151" spans="1:6" x14ac:dyDescent="0.3">
      <c r="A151" s="29" t="s">
        <v>26</v>
      </c>
    </row>
    <row r="152" spans="1:6" ht="30" customHeight="1" x14ac:dyDescent="0.3">
      <c r="A152" s="30" t="s">
        <v>47</v>
      </c>
      <c r="B152" s="30" t="s">
        <v>48</v>
      </c>
      <c r="C152" s="30" t="s">
        <v>49</v>
      </c>
      <c r="D152" s="30" t="s">
        <v>50</v>
      </c>
      <c r="E152" s="30" t="s">
        <v>51</v>
      </c>
      <c r="F152" s="30" t="s">
        <v>52</v>
      </c>
    </row>
    <row r="153" spans="1:6" x14ac:dyDescent="0.3">
      <c r="A153" s="24" t="s">
        <v>53</v>
      </c>
      <c r="B153" s="25" t="s">
        <v>80</v>
      </c>
      <c r="C153" s="24"/>
      <c r="D153" s="24"/>
      <c r="E153" s="24"/>
      <c r="F153" s="25">
        <f t="shared" ref="F153:F162" si="18">D153*E153</f>
        <v>0</v>
      </c>
    </row>
    <row r="154" spans="1:6" x14ac:dyDescent="0.3">
      <c r="A154" s="24" t="s">
        <v>54</v>
      </c>
      <c r="B154" s="25" t="s">
        <v>74</v>
      </c>
      <c r="C154" s="24"/>
      <c r="D154" s="24"/>
      <c r="E154" s="24"/>
      <c r="F154" s="25">
        <f t="shared" si="18"/>
        <v>0</v>
      </c>
    </row>
    <row r="155" spans="1:6" x14ac:dyDescent="0.3">
      <c r="A155" s="24" t="s">
        <v>55</v>
      </c>
      <c r="B155" s="25" t="s">
        <v>65</v>
      </c>
      <c r="C155" s="24"/>
      <c r="D155" s="24"/>
      <c r="E155" s="24"/>
      <c r="F155" s="25">
        <f t="shared" si="18"/>
        <v>0</v>
      </c>
    </row>
    <row r="156" spans="1:6" x14ac:dyDescent="0.3">
      <c r="A156" s="24" t="s">
        <v>56</v>
      </c>
      <c r="B156" s="25" t="s">
        <v>80</v>
      </c>
      <c r="C156" s="25" t="s">
        <v>77</v>
      </c>
      <c r="D156" s="24">
        <v>20</v>
      </c>
      <c r="E156" s="24">
        <v>2000</v>
      </c>
      <c r="F156" s="25">
        <f t="shared" si="18"/>
        <v>40000</v>
      </c>
    </row>
    <row r="157" spans="1:6" x14ac:dyDescent="0.3">
      <c r="A157" s="24" t="s">
        <v>57</v>
      </c>
      <c r="B157" s="25" t="s">
        <v>80</v>
      </c>
      <c r="C157" s="25" t="s">
        <v>77</v>
      </c>
      <c r="D157" s="24">
        <v>100</v>
      </c>
      <c r="E157" s="24"/>
      <c r="F157" s="25">
        <f t="shared" si="18"/>
        <v>0</v>
      </c>
    </row>
    <row r="158" spans="1:6" x14ac:dyDescent="0.3">
      <c r="A158" s="24" t="s">
        <v>58</v>
      </c>
      <c r="B158" s="25" t="s">
        <v>80</v>
      </c>
      <c r="C158" s="25" t="s">
        <v>77</v>
      </c>
      <c r="D158" s="24">
        <v>100</v>
      </c>
      <c r="E158" s="24"/>
      <c r="F158" s="25">
        <f t="shared" si="18"/>
        <v>0</v>
      </c>
    </row>
    <row r="159" spans="1:6" x14ac:dyDescent="0.3">
      <c r="A159" s="24" t="s">
        <v>59</v>
      </c>
      <c r="B159" s="25" t="s">
        <v>76</v>
      </c>
      <c r="C159" s="24"/>
      <c r="D159" s="24"/>
      <c r="E159" s="24"/>
      <c r="F159" s="25">
        <f t="shared" si="18"/>
        <v>0</v>
      </c>
    </row>
    <row r="160" spans="1:6" x14ac:dyDescent="0.3">
      <c r="A160" s="24" t="s">
        <v>60</v>
      </c>
      <c r="B160" s="25" t="s">
        <v>71</v>
      </c>
      <c r="C160" s="24"/>
      <c r="D160" s="24"/>
      <c r="E160" s="24"/>
      <c r="F160" s="25">
        <f t="shared" si="18"/>
        <v>0</v>
      </c>
    </row>
    <row r="161" spans="1:6" x14ac:dyDescent="0.3">
      <c r="A161" s="24" t="s">
        <v>60</v>
      </c>
      <c r="B161" s="25">
        <f t="shared" ref="B161" si="19">B177+B193+B209+B225+B321+B241+B257+B273+B289+B305</f>
        <v>0</v>
      </c>
      <c r="C161" s="24"/>
      <c r="D161" s="24"/>
      <c r="E161" s="24"/>
      <c r="F161" s="25">
        <f t="shared" si="18"/>
        <v>0</v>
      </c>
    </row>
    <row r="162" spans="1:6" x14ac:dyDescent="0.3">
      <c r="A162" s="24" t="s">
        <v>61</v>
      </c>
      <c r="B162" s="25" t="s">
        <v>74</v>
      </c>
      <c r="C162" s="24"/>
      <c r="D162" s="24"/>
      <c r="E162" s="24"/>
      <c r="F162" s="25">
        <f t="shared" si="18"/>
        <v>0</v>
      </c>
    </row>
    <row r="163" spans="1:6" x14ac:dyDescent="0.3">
      <c r="A163" s="24"/>
      <c r="B163" s="24"/>
      <c r="C163" s="24"/>
      <c r="D163" s="24"/>
      <c r="E163" s="24"/>
      <c r="F163" s="25"/>
    </row>
    <row r="164" spans="1:6" ht="15.75" customHeight="1" x14ac:dyDescent="0.3">
      <c r="A164" s="26" t="s">
        <v>62</v>
      </c>
      <c r="B164" s="27"/>
      <c r="C164" s="27"/>
      <c r="D164" s="27"/>
      <c r="E164" s="27"/>
      <c r="F164" s="28">
        <f>SUM(F153:F163)</f>
        <v>40000</v>
      </c>
    </row>
    <row r="165" spans="1:6" ht="15.75" customHeight="1" x14ac:dyDescent="0.3">
      <c r="A165" s="31"/>
      <c r="F165" s="32"/>
    </row>
    <row r="166" spans="1:6" ht="15.75" customHeight="1" x14ac:dyDescent="0.3">
      <c r="A166" s="31"/>
      <c r="F166" s="32"/>
    </row>
    <row r="167" spans="1:6" x14ac:dyDescent="0.3">
      <c r="A167" s="29" t="s">
        <v>27</v>
      </c>
    </row>
    <row r="168" spans="1:6" ht="30" customHeight="1" x14ac:dyDescent="0.3">
      <c r="A168" s="30" t="s">
        <v>47</v>
      </c>
      <c r="B168" s="30" t="s">
        <v>48</v>
      </c>
      <c r="C168" s="30" t="s">
        <v>49</v>
      </c>
      <c r="D168" s="30" t="s">
        <v>50</v>
      </c>
      <c r="E168" s="30" t="s">
        <v>51</v>
      </c>
      <c r="F168" s="30" t="s">
        <v>52</v>
      </c>
    </row>
    <row r="169" spans="1:6" x14ac:dyDescent="0.3">
      <c r="A169" s="24" t="s">
        <v>53</v>
      </c>
      <c r="B169" s="25" t="s">
        <v>81</v>
      </c>
      <c r="C169" s="24"/>
      <c r="D169" s="24"/>
      <c r="E169" s="24"/>
      <c r="F169" s="25">
        <f t="shared" ref="F169:F178" si="20">D169*E169</f>
        <v>0</v>
      </c>
    </row>
    <row r="170" spans="1:6" x14ac:dyDescent="0.3">
      <c r="A170" s="24" t="s">
        <v>54</v>
      </c>
      <c r="B170" s="25" t="s">
        <v>74</v>
      </c>
      <c r="C170" s="24"/>
      <c r="D170" s="24"/>
      <c r="E170" s="24"/>
      <c r="F170" s="25">
        <f t="shared" si="20"/>
        <v>0</v>
      </c>
    </row>
    <row r="171" spans="1:6" x14ac:dyDescent="0.3">
      <c r="A171" s="24" t="s">
        <v>55</v>
      </c>
      <c r="B171" s="25" t="s">
        <v>65</v>
      </c>
      <c r="C171" s="24"/>
      <c r="D171" s="24"/>
      <c r="E171" s="24"/>
      <c r="F171" s="25">
        <f t="shared" si="20"/>
        <v>0</v>
      </c>
    </row>
    <row r="172" spans="1:6" x14ac:dyDescent="0.3">
      <c r="A172" s="24" t="s">
        <v>56</v>
      </c>
      <c r="B172" s="25" t="s">
        <v>82</v>
      </c>
      <c r="C172" s="25" t="s">
        <v>77</v>
      </c>
      <c r="D172" s="24">
        <v>20</v>
      </c>
      <c r="E172" s="24">
        <v>2000</v>
      </c>
      <c r="F172" s="25">
        <f t="shared" si="20"/>
        <v>40000</v>
      </c>
    </row>
    <row r="173" spans="1:6" x14ac:dyDescent="0.3">
      <c r="A173" s="24" t="s">
        <v>57</v>
      </c>
      <c r="B173" s="25" t="s">
        <v>82</v>
      </c>
      <c r="C173" s="25" t="s">
        <v>77</v>
      </c>
      <c r="D173" s="24">
        <v>100</v>
      </c>
      <c r="E173" s="24"/>
      <c r="F173" s="25">
        <f t="shared" si="20"/>
        <v>0</v>
      </c>
    </row>
    <row r="174" spans="1:6" x14ac:dyDescent="0.3">
      <c r="A174" s="24" t="s">
        <v>58</v>
      </c>
      <c r="B174" s="25" t="s">
        <v>82</v>
      </c>
      <c r="C174" s="25" t="s">
        <v>77</v>
      </c>
      <c r="D174" s="24">
        <v>100</v>
      </c>
      <c r="E174" s="24"/>
      <c r="F174" s="25">
        <f t="shared" si="20"/>
        <v>0</v>
      </c>
    </row>
    <row r="175" spans="1:6" x14ac:dyDescent="0.3">
      <c r="A175" s="24" t="s">
        <v>59</v>
      </c>
      <c r="B175" s="25" t="s">
        <v>76</v>
      </c>
      <c r="C175" s="24"/>
      <c r="D175" s="24"/>
      <c r="E175" s="24"/>
      <c r="F175" s="25">
        <f t="shared" si="20"/>
        <v>0</v>
      </c>
    </row>
    <row r="176" spans="1:6" x14ac:dyDescent="0.3">
      <c r="A176" s="24" t="s">
        <v>60</v>
      </c>
      <c r="B176" s="25" t="s">
        <v>71</v>
      </c>
      <c r="C176" s="24"/>
      <c r="D176" s="24"/>
      <c r="E176" s="24"/>
      <c r="F176" s="25">
        <f t="shared" si="20"/>
        <v>0</v>
      </c>
    </row>
    <row r="177" spans="1:6" x14ac:dyDescent="0.3">
      <c r="A177" s="24" t="s">
        <v>60</v>
      </c>
      <c r="B177" s="25">
        <f t="shared" ref="B177" si="21">B193+B209+B225+B241+B337+B257+B273+B289+B305+B321</f>
        <v>0</v>
      </c>
      <c r="C177" s="24"/>
      <c r="D177" s="24"/>
      <c r="E177" s="24"/>
      <c r="F177" s="25">
        <f t="shared" si="20"/>
        <v>0</v>
      </c>
    </row>
    <row r="178" spans="1:6" x14ac:dyDescent="0.3">
      <c r="A178" s="24" t="s">
        <v>61</v>
      </c>
      <c r="B178" s="25" t="s">
        <v>74</v>
      </c>
      <c r="C178" s="24"/>
      <c r="D178" s="24"/>
      <c r="E178" s="24"/>
      <c r="F178" s="25">
        <f t="shared" si="20"/>
        <v>0</v>
      </c>
    </row>
    <row r="179" spans="1:6" x14ac:dyDescent="0.3">
      <c r="A179" s="24"/>
      <c r="B179" s="24"/>
      <c r="C179" s="24"/>
      <c r="D179" s="24"/>
      <c r="E179" s="24"/>
      <c r="F179" s="25"/>
    </row>
    <row r="180" spans="1:6" ht="15.75" customHeight="1" x14ac:dyDescent="0.3">
      <c r="A180" s="26" t="s">
        <v>62</v>
      </c>
      <c r="B180" s="27"/>
      <c r="C180" s="27"/>
      <c r="D180" s="27"/>
      <c r="E180" s="27"/>
      <c r="F180" s="28">
        <f>SUM(F169:F179)</f>
        <v>40000</v>
      </c>
    </row>
    <row r="181" spans="1:6" ht="15.75" customHeight="1" x14ac:dyDescent="0.3">
      <c r="A181" s="31"/>
      <c r="F181" s="32"/>
    </row>
    <row r="182" spans="1:6" ht="15.75" customHeight="1" x14ac:dyDescent="0.3">
      <c r="A182" s="31"/>
      <c r="F182" s="32"/>
    </row>
    <row r="183" spans="1:6" x14ac:dyDescent="0.3">
      <c r="A183" s="22" t="s">
        <v>28</v>
      </c>
    </row>
    <row r="184" spans="1:6" ht="36" customHeight="1" x14ac:dyDescent="0.3">
      <c r="A184" s="30" t="s">
        <v>47</v>
      </c>
      <c r="B184" s="30" t="s">
        <v>48</v>
      </c>
      <c r="C184" s="30" t="s">
        <v>49</v>
      </c>
      <c r="D184" s="30" t="s">
        <v>50</v>
      </c>
      <c r="E184" s="30" t="s">
        <v>51</v>
      </c>
      <c r="F184" s="30" t="s">
        <v>52</v>
      </c>
    </row>
    <row r="185" spans="1:6" x14ac:dyDescent="0.3">
      <c r="A185" s="24" t="s">
        <v>53</v>
      </c>
      <c r="B185" s="25" t="s">
        <v>83</v>
      </c>
      <c r="C185" s="24"/>
      <c r="D185" s="24"/>
      <c r="E185" s="24"/>
      <c r="F185" s="25">
        <f t="shared" ref="F185:F194" si="22">D185*E185</f>
        <v>0</v>
      </c>
    </row>
    <row r="186" spans="1:6" x14ac:dyDescent="0.3">
      <c r="A186" s="24" t="s">
        <v>54</v>
      </c>
      <c r="B186" s="25" t="s">
        <v>74</v>
      </c>
      <c r="C186" s="24"/>
      <c r="D186" s="24"/>
      <c r="E186" s="24"/>
      <c r="F186" s="25">
        <f t="shared" si="22"/>
        <v>0</v>
      </c>
    </row>
    <row r="187" spans="1:6" x14ac:dyDescent="0.3">
      <c r="A187" s="24" t="s">
        <v>55</v>
      </c>
      <c r="B187" s="25" t="s">
        <v>65</v>
      </c>
      <c r="C187" s="24"/>
      <c r="D187" s="24"/>
      <c r="E187" s="24"/>
      <c r="F187" s="25">
        <f t="shared" si="22"/>
        <v>0</v>
      </c>
    </row>
    <row r="188" spans="1:6" x14ac:dyDescent="0.3">
      <c r="A188" s="24" t="s">
        <v>56</v>
      </c>
      <c r="B188" s="25" t="s">
        <v>83</v>
      </c>
      <c r="C188" s="25" t="s">
        <v>84</v>
      </c>
      <c r="D188" s="24">
        <v>20</v>
      </c>
      <c r="E188" s="24">
        <v>2000</v>
      </c>
      <c r="F188" s="25">
        <f t="shared" si="22"/>
        <v>40000</v>
      </c>
    </row>
    <row r="189" spans="1:6" x14ac:dyDescent="0.3">
      <c r="A189" s="24" t="s">
        <v>57</v>
      </c>
      <c r="B189" s="25" t="s">
        <v>83</v>
      </c>
      <c r="C189" s="25" t="s">
        <v>84</v>
      </c>
      <c r="D189" s="24">
        <v>100</v>
      </c>
      <c r="E189" s="24"/>
      <c r="F189" s="25">
        <f t="shared" si="22"/>
        <v>0</v>
      </c>
    </row>
    <row r="190" spans="1:6" x14ac:dyDescent="0.3">
      <c r="A190" s="24" t="s">
        <v>58</v>
      </c>
      <c r="B190" s="25" t="s">
        <v>83</v>
      </c>
      <c r="C190" s="25" t="s">
        <v>84</v>
      </c>
      <c r="D190" s="24">
        <v>100</v>
      </c>
      <c r="E190" s="24"/>
      <c r="F190" s="25">
        <f t="shared" si="22"/>
        <v>0</v>
      </c>
    </row>
    <row r="191" spans="1:6" x14ac:dyDescent="0.3">
      <c r="A191" s="24" t="s">
        <v>59</v>
      </c>
      <c r="B191" s="25" t="s">
        <v>76</v>
      </c>
      <c r="C191" s="24"/>
      <c r="D191" s="24"/>
      <c r="E191" s="24"/>
      <c r="F191" s="25">
        <f t="shared" si="22"/>
        <v>0</v>
      </c>
    </row>
    <row r="192" spans="1:6" x14ac:dyDescent="0.3">
      <c r="A192" s="24" t="s">
        <v>60</v>
      </c>
      <c r="B192" s="25" t="s">
        <v>71</v>
      </c>
      <c r="C192" s="24"/>
      <c r="D192" s="24"/>
      <c r="E192" s="24"/>
      <c r="F192" s="25">
        <f t="shared" si="22"/>
        <v>0</v>
      </c>
    </row>
    <row r="193" spans="1:6" x14ac:dyDescent="0.3">
      <c r="A193" s="24" t="s">
        <v>60</v>
      </c>
      <c r="B193" s="25">
        <f t="shared" ref="B193" si="23">B209+B225+B241+B257+B353+B273+B289+B305+B321+B337</f>
        <v>0</v>
      </c>
      <c r="C193" s="24"/>
      <c r="D193" s="24"/>
      <c r="E193" s="24"/>
      <c r="F193" s="25">
        <f t="shared" si="22"/>
        <v>0</v>
      </c>
    </row>
    <row r="194" spans="1:6" x14ac:dyDescent="0.3">
      <c r="A194" s="24" t="s">
        <v>61</v>
      </c>
      <c r="B194" s="25" t="s">
        <v>74</v>
      </c>
      <c r="C194" s="24"/>
      <c r="D194" s="24"/>
      <c r="E194" s="24"/>
      <c r="F194" s="25">
        <f t="shared" si="22"/>
        <v>0</v>
      </c>
    </row>
    <row r="195" spans="1:6" x14ac:dyDescent="0.3">
      <c r="A195" s="24"/>
      <c r="B195" s="24"/>
      <c r="C195" s="24"/>
      <c r="D195" s="24"/>
      <c r="E195" s="24"/>
      <c r="F195" s="25"/>
    </row>
    <row r="196" spans="1:6" ht="15.75" customHeight="1" x14ac:dyDescent="0.3">
      <c r="A196" s="26" t="s">
        <v>62</v>
      </c>
      <c r="B196" s="27"/>
      <c r="C196" s="27"/>
      <c r="D196" s="27"/>
      <c r="E196" s="27"/>
      <c r="F196" s="28">
        <f>SUM(F185:F195)</f>
        <v>40000</v>
      </c>
    </row>
    <row r="197" spans="1:6" ht="15.75" customHeight="1" x14ac:dyDescent="0.3">
      <c r="A197" s="31"/>
      <c r="F197" s="32"/>
    </row>
    <row r="198" spans="1:6" ht="15.75" customHeight="1" x14ac:dyDescent="0.3">
      <c r="A198" s="31"/>
      <c r="F198" s="32"/>
    </row>
    <row r="199" spans="1:6" x14ac:dyDescent="0.3">
      <c r="A199" s="22" t="s">
        <v>29</v>
      </c>
    </row>
    <row r="200" spans="1:6" ht="30" customHeight="1" x14ac:dyDescent="0.3">
      <c r="A200" s="30" t="s">
        <v>47</v>
      </c>
      <c r="B200" s="30" t="s">
        <v>48</v>
      </c>
      <c r="C200" s="30" t="s">
        <v>49</v>
      </c>
      <c r="D200" s="30" t="s">
        <v>50</v>
      </c>
      <c r="E200" s="30" t="s">
        <v>51</v>
      </c>
      <c r="F200" s="30" t="s">
        <v>52</v>
      </c>
    </row>
    <row r="201" spans="1:6" x14ac:dyDescent="0.3">
      <c r="A201" s="24" t="s">
        <v>53</v>
      </c>
      <c r="B201" s="24"/>
      <c r="C201" s="24"/>
      <c r="D201" s="24"/>
      <c r="E201" s="24"/>
      <c r="F201" s="25">
        <f t="shared" ref="F201:F210" si="24">D201*E201</f>
        <v>0</v>
      </c>
    </row>
    <row r="202" spans="1:6" x14ac:dyDescent="0.3">
      <c r="A202" s="24" t="s">
        <v>54</v>
      </c>
      <c r="B202" s="24"/>
      <c r="C202" s="24"/>
      <c r="D202" s="24"/>
      <c r="E202" s="24"/>
      <c r="F202" s="25">
        <f t="shared" si="24"/>
        <v>0</v>
      </c>
    </row>
    <row r="203" spans="1:6" x14ac:dyDescent="0.3">
      <c r="A203" s="24" t="s">
        <v>55</v>
      </c>
      <c r="B203" s="24"/>
      <c r="C203" s="24"/>
      <c r="D203" s="24"/>
      <c r="E203" s="24"/>
      <c r="F203" s="25">
        <f t="shared" si="24"/>
        <v>0</v>
      </c>
    </row>
    <row r="204" spans="1:6" x14ac:dyDescent="0.3">
      <c r="A204" s="24" t="s">
        <v>56</v>
      </c>
      <c r="B204" s="24"/>
      <c r="C204" s="24"/>
      <c r="D204" s="24"/>
      <c r="E204" s="24"/>
      <c r="F204" s="25">
        <f t="shared" si="24"/>
        <v>0</v>
      </c>
    </row>
    <row r="205" spans="1:6" x14ac:dyDescent="0.3">
      <c r="A205" s="24" t="s">
        <v>57</v>
      </c>
      <c r="B205" s="24"/>
      <c r="C205" s="24"/>
      <c r="D205" s="24"/>
      <c r="E205" s="24"/>
      <c r="F205" s="25">
        <f t="shared" si="24"/>
        <v>0</v>
      </c>
    </row>
    <row r="206" spans="1:6" x14ac:dyDescent="0.3">
      <c r="A206" s="24" t="s">
        <v>58</v>
      </c>
      <c r="B206" s="24"/>
      <c r="C206" s="24"/>
      <c r="D206" s="24"/>
      <c r="E206" s="24"/>
      <c r="F206" s="25">
        <f t="shared" si="24"/>
        <v>0</v>
      </c>
    </row>
    <row r="207" spans="1:6" x14ac:dyDescent="0.3">
      <c r="A207" s="24" t="s">
        <v>59</v>
      </c>
      <c r="B207" s="24"/>
      <c r="C207" s="24"/>
      <c r="D207" s="24"/>
      <c r="E207" s="24"/>
      <c r="F207" s="25">
        <f t="shared" si="24"/>
        <v>0</v>
      </c>
    </row>
    <row r="208" spans="1:6" x14ac:dyDescent="0.3">
      <c r="A208" s="24" t="s">
        <v>60</v>
      </c>
      <c r="B208" s="24"/>
      <c r="C208" s="24"/>
      <c r="D208" s="24"/>
      <c r="E208" s="24"/>
      <c r="F208" s="25">
        <f t="shared" si="24"/>
        <v>0</v>
      </c>
    </row>
    <row r="209" spans="1:6" x14ac:dyDescent="0.3">
      <c r="A209" s="24" t="s">
        <v>60</v>
      </c>
      <c r="B209" s="24"/>
      <c r="C209" s="24"/>
      <c r="D209" s="24"/>
      <c r="E209" s="24"/>
      <c r="F209" s="25">
        <f t="shared" si="24"/>
        <v>0</v>
      </c>
    </row>
    <row r="210" spans="1:6" x14ac:dyDescent="0.3">
      <c r="A210" s="24" t="s">
        <v>61</v>
      </c>
      <c r="B210" s="24"/>
      <c r="C210" s="24"/>
      <c r="D210" s="24"/>
      <c r="E210" s="24"/>
      <c r="F210" s="25">
        <f t="shared" si="24"/>
        <v>0</v>
      </c>
    </row>
    <row r="211" spans="1:6" x14ac:dyDescent="0.3">
      <c r="A211" s="24"/>
      <c r="B211" s="24"/>
      <c r="C211" s="24"/>
      <c r="D211" s="24"/>
      <c r="E211" s="24"/>
      <c r="F211" s="25"/>
    </row>
    <row r="212" spans="1:6" ht="15.75" customHeight="1" x14ac:dyDescent="0.3">
      <c r="A212" s="26" t="s">
        <v>62</v>
      </c>
      <c r="B212" s="27"/>
      <c r="C212" s="27"/>
      <c r="D212" s="27"/>
      <c r="E212" s="27"/>
      <c r="F212" s="28">
        <f>SUM(F201:F211)</f>
        <v>0</v>
      </c>
    </row>
    <row r="213" spans="1:6" ht="15.75" customHeight="1" x14ac:dyDescent="0.3">
      <c r="A213" s="31"/>
      <c r="F213" s="32"/>
    </row>
    <row r="214" spans="1:6" ht="15.75" customHeight="1" x14ac:dyDescent="0.3">
      <c r="A214" s="31"/>
      <c r="F214" s="32"/>
    </row>
    <row r="215" spans="1:6" x14ac:dyDescent="0.3">
      <c r="A215" s="22" t="s">
        <v>30</v>
      </c>
    </row>
    <row r="216" spans="1:6" ht="30" customHeight="1" x14ac:dyDescent="0.3">
      <c r="A216" s="30" t="s">
        <v>47</v>
      </c>
      <c r="B216" s="30" t="s">
        <v>48</v>
      </c>
      <c r="C216" s="30" t="s">
        <v>49</v>
      </c>
      <c r="D216" s="30" t="s">
        <v>50</v>
      </c>
      <c r="E216" s="30" t="s">
        <v>51</v>
      </c>
      <c r="F216" s="30" t="s">
        <v>52</v>
      </c>
    </row>
    <row r="217" spans="1:6" x14ac:dyDescent="0.3">
      <c r="A217" s="24" t="s">
        <v>53</v>
      </c>
      <c r="B217" s="24"/>
      <c r="C217" s="24"/>
      <c r="D217" s="24"/>
      <c r="E217" s="24"/>
      <c r="F217" s="25">
        <f t="shared" ref="F217:F226" si="25">D217*E217</f>
        <v>0</v>
      </c>
    </row>
    <row r="218" spans="1:6" x14ac:dyDescent="0.3">
      <c r="A218" s="24" t="s">
        <v>54</v>
      </c>
      <c r="B218" s="24"/>
      <c r="C218" s="24"/>
      <c r="D218" s="24"/>
      <c r="E218" s="24"/>
      <c r="F218" s="25">
        <f t="shared" si="25"/>
        <v>0</v>
      </c>
    </row>
    <row r="219" spans="1:6" x14ac:dyDescent="0.3">
      <c r="A219" s="24" t="s">
        <v>55</v>
      </c>
      <c r="B219" s="24"/>
      <c r="C219" s="24"/>
      <c r="D219" s="24"/>
      <c r="E219" s="24"/>
      <c r="F219" s="25">
        <f t="shared" si="25"/>
        <v>0</v>
      </c>
    </row>
    <row r="220" spans="1:6" x14ac:dyDescent="0.3">
      <c r="A220" s="24" t="s">
        <v>56</v>
      </c>
      <c r="B220" s="24"/>
      <c r="C220" s="24"/>
      <c r="D220" s="24"/>
      <c r="E220" s="24"/>
      <c r="F220" s="25">
        <f t="shared" si="25"/>
        <v>0</v>
      </c>
    </row>
    <row r="221" spans="1:6" x14ac:dyDescent="0.3">
      <c r="A221" s="24" t="s">
        <v>57</v>
      </c>
      <c r="B221" s="24"/>
      <c r="C221" s="24"/>
      <c r="D221" s="24"/>
      <c r="E221" s="24"/>
      <c r="F221" s="25">
        <f t="shared" si="25"/>
        <v>0</v>
      </c>
    </row>
    <row r="222" spans="1:6" x14ac:dyDescent="0.3">
      <c r="A222" s="24" t="s">
        <v>58</v>
      </c>
      <c r="B222" s="24"/>
      <c r="C222" s="24"/>
      <c r="D222" s="24"/>
      <c r="E222" s="24"/>
      <c r="F222" s="25">
        <f t="shared" si="25"/>
        <v>0</v>
      </c>
    </row>
    <row r="223" spans="1:6" x14ac:dyDescent="0.3">
      <c r="A223" s="24" t="s">
        <v>59</v>
      </c>
      <c r="B223" s="24"/>
      <c r="C223" s="24"/>
      <c r="D223" s="24"/>
      <c r="E223" s="24"/>
      <c r="F223" s="25">
        <f t="shared" si="25"/>
        <v>0</v>
      </c>
    </row>
    <row r="224" spans="1:6" x14ac:dyDescent="0.3">
      <c r="A224" s="24" t="s">
        <v>60</v>
      </c>
      <c r="B224" s="24"/>
      <c r="C224" s="24"/>
      <c r="D224" s="24"/>
      <c r="E224" s="24"/>
      <c r="F224" s="25">
        <f t="shared" si="25"/>
        <v>0</v>
      </c>
    </row>
    <row r="225" spans="1:6" x14ac:dyDescent="0.3">
      <c r="A225" s="24" t="s">
        <v>60</v>
      </c>
      <c r="B225" s="24"/>
      <c r="C225" s="24"/>
      <c r="D225" s="24"/>
      <c r="E225" s="24"/>
      <c r="F225" s="25">
        <f t="shared" si="25"/>
        <v>0</v>
      </c>
    </row>
    <row r="226" spans="1:6" x14ac:dyDescent="0.3">
      <c r="A226" s="24" t="s">
        <v>61</v>
      </c>
      <c r="B226" s="24"/>
      <c r="C226" s="24"/>
      <c r="D226" s="24"/>
      <c r="E226" s="24"/>
      <c r="F226" s="25">
        <f t="shared" si="25"/>
        <v>0</v>
      </c>
    </row>
    <row r="227" spans="1:6" x14ac:dyDescent="0.3">
      <c r="A227" s="24"/>
      <c r="B227" s="24"/>
      <c r="C227" s="24"/>
      <c r="D227" s="24"/>
      <c r="E227" s="24"/>
      <c r="F227" s="25"/>
    </row>
    <row r="228" spans="1:6" ht="15.75" customHeight="1" x14ac:dyDescent="0.3">
      <c r="A228" s="26" t="s">
        <v>62</v>
      </c>
      <c r="B228" s="27"/>
      <c r="C228" s="27"/>
      <c r="D228" s="27"/>
      <c r="E228" s="27"/>
      <c r="F228" s="28">
        <f>SUM(F217:F227)</f>
        <v>0</v>
      </c>
    </row>
    <row r="229" spans="1:6" ht="15.75" customHeight="1" x14ac:dyDescent="0.3">
      <c r="A229" s="31"/>
      <c r="F229" s="32"/>
    </row>
    <row r="230" spans="1:6" ht="15.75" customHeight="1" x14ac:dyDescent="0.3">
      <c r="A230" s="31"/>
      <c r="F230" s="32"/>
    </row>
    <row r="231" spans="1:6" x14ac:dyDescent="0.3">
      <c r="A231" s="22" t="s">
        <v>31</v>
      </c>
    </row>
    <row r="232" spans="1:6" ht="30" customHeight="1" x14ac:dyDescent="0.3">
      <c r="A232" s="30" t="s">
        <v>47</v>
      </c>
      <c r="B232" s="30" t="s">
        <v>48</v>
      </c>
      <c r="C232" s="30" t="s">
        <v>49</v>
      </c>
      <c r="D232" s="30" t="s">
        <v>50</v>
      </c>
      <c r="E232" s="30" t="s">
        <v>51</v>
      </c>
      <c r="F232" s="30" t="s">
        <v>52</v>
      </c>
    </row>
    <row r="233" spans="1:6" x14ac:dyDescent="0.3">
      <c r="A233" s="24" t="s">
        <v>53</v>
      </c>
      <c r="B233" s="24"/>
      <c r="C233" s="24"/>
      <c r="D233" s="24"/>
      <c r="E233" s="24"/>
      <c r="F233" s="25">
        <f t="shared" ref="F233:F242" si="26">D233*E233</f>
        <v>0</v>
      </c>
    </row>
    <row r="234" spans="1:6" x14ac:dyDescent="0.3">
      <c r="A234" s="24" t="s">
        <v>54</v>
      </c>
      <c r="B234" s="24"/>
      <c r="C234" s="24"/>
      <c r="D234" s="24"/>
      <c r="E234" s="24"/>
      <c r="F234" s="25">
        <f t="shared" si="26"/>
        <v>0</v>
      </c>
    </row>
    <row r="235" spans="1:6" x14ac:dyDescent="0.3">
      <c r="A235" s="24" t="s">
        <v>55</v>
      </c>
      <c r="B235" s="24"/>
      <c r="C235" s="24"/>
      <c r="D235" s="24"/>
      <c r="E235" s="24"/>
      <c r="F235" s="25">
        <f t="shared" si="26"/>
        <v>0</v>
      </c>
    </row>
    <row r="236" spans="1:6" x14ac:dyDescent="0.3">
      <c r="A236" s="24" t="s">
        <v>56</v>
      </c>
      <c r="B236" s="24"/>
      <c r="C236" s="24"/>
      <c r="D236" s="24"/>
      <c r="E236" s="24"/>
      <c r="F236" s="25">
        <f t="shared" si="26"/>
        <v>0</v>
      </c>
    </row>
    <row r="237" spans="1:6" x14ac:dyDescent="0.3">
      <c r="A237" s="24" t="s">
        <v>57</v>
      </c>
      <c r="B237" s="24"/>
      <c r="C237" s="24"/>
      <c r="D237" s="24"/>
      <c r="E237" s="24"/>
      <c r="F237" s="25">
        <f t="shared" si="26"/>
        <v>0</v>
      </c>
    </row>
    <row r="238" spans="1:6" x14ac:dyDescent="0.3">
      <c r="A238" s="24" t="s">
        <v>58</v>
      </c>
      <c r="B238" s="24"/>
      <c r="C238" s="24"/>
      <c r="D238" s="24"/>
      <c r="E238" s="24"/>
      <c r="F238" s="25">
        <f t="shared" si="26"/>
        <v>0</v>
      </c>
    </row>
    <row r="239" spans="1:6" x14ac:dyDescent="0.3">
      <c r="A239" s="24" t="s">
        <v>59</v>
      </c>
      <c r="B239" s="24"/>
      <c r="C239" s="24"/>
      <c r="D239" s="24"/>
      <c r="E239" s="24"/>
      <c r="F239" s="25">
        <f t="shared" si="26"/>
        <v>0</v>
      </c>
    </row>
    <row r="240" spans="1:6" x14ac:dyDescent="0.3">
      <c r="A240" s="24" t="s">
        <v>60</v>
      </c>
      <c r="B240" s="24"/>
      <c r="C240" s="24"/>
      <c r="D240" s="24"/>
      <c r="E240" s="24"/>
      <c r="F240" s="25">
        <f t="shared" si="26"/>
        <v>0</v>
      </c>
    </row>
    <row r="241" spans="1:6" x14ac:dyDescent="0.3">
      <c r="A241" s="24" t="s">
        <v>60</v>
      </c>
      <c r="B241" s="24"/>
      <c r="C241" s="24"/>
      <c r="D241" s="24"/>
      <c r="E241" s="24"/>
      <c r="F241" s="25">
        <f t="shared" si="26"/>
        <v>0</v>
      </c>
    </row>
    <row r="242" spans="1:6" x14ac:dyDescent="0.3">
      <c r="A242" s="24" t="s">
        <v>61</v>
      </c>
      <c r="B242" s="24"/>
      <c r="C242" s="24"/>
      <c r="D242" s="24"/>
      <c r="E242" s="24"/>
      <c r="F242" s="25">
        <f t="shared" si="26"/>
        <v>0</v>
      </c>
    </row>
    <row r="243" spans="1:6" x14ac:dyDescent="0.3">
      <c r="A243" s="24"/>
      <c r="B243" s="24"/>
      <c r="C243" s="24"/>
      <c r="D243" s="24"/>
      <c r="E243" s="24"/>
      <c r="F243" s="25"/>
    </row>
    <row r="244" spans="1:6" ht="15.75" customHeight="1" x14ac:dyDescent="0.3">
      <c r="A244" s="26" t="s">
        <v>62</v>
      </c>
      <c r="B244" s="27"/>
      <c r="C244" s="27"/>
      <c r="D244" s="27"/>
      <c r="E244" s="27"/>
      <c r="F244" s="28">
        <f>SUM(F233:F243)</f>
        <v>0</v>
      </c>
    </row>
    <row r="245" spans="1:6" ht="15.75" customHeight="1" x14ac:dyDescent="0.3">
      <c r="A245" s="31"/>
      <c r="F245" s="32"/>
    </row>
    <row r="246" spans="1:6" ht="15.75" customHeight="1" x14ac:dyDescent="0.3">
      <c r="A246" s="31"/>
      <c r="F246" s="32"/>
    </row>
    <row r="247" spans="1:6" x14ac:dyDescent="0.3">
      <c r="A247" s="22" t="s">
        <v>32</v>
      </c>
    </row>
    <row r="248" spans="1:6" ht="30" customHeight="1" x14ac:dyDescent="0.3">
      <c r="A248" s="30" t="s">
        <v>47</v>
      </c>
      <c r="B248" s="30" t="s">
        <v>48</v>
      </c>
      <c r="C248" s="30" t="s">
        <v>49</v>
      </c>
      <c r="D248" s="30" t="s">
        <v>50</v>
      </c>
      <c r="E248" s="30" t="s">
        <v>51</v>
      </c>
      <c r="F248" s="30" t="s">
        <v>52</v>
      </c>
    </row>
    <row r="249" spans="1:6" x14ac:dyDescent="0.3">
      <c r="A249" s="24" t="s">
        <v>53</v>
      </c>
      <c r="B249" s="24"/>
      <c r="C249" s="24"/>
      <c r="D249" s="24"/>
      <c r="E249" s="24"/>
      <c r="F249" s="25">
        <f t="shared" ref="F249:F258" si="27">D249*E249</f>
        <v>0</v>
      </c>
    </row>
    <row r="250" spans="1:6" x14ac:dyDescent="0.3">
      <c r="A250" s="24" t="s">
        <v>54</v>
      </c>
      <c r="B250" s="24"/>
      <c r="C250" s="24"/>
      <c r="D250" s="24"/>
      <c r="E250" s="24"/>
      <c r="F250" s="25">
        <f t="shared" si="27"/>
        <v>0</v>
      </c>
    </row>
    <row r="251" spans="1:6" x14ac:dyDescent="0.3">
      <c r="A251" s="24" t="s">
        <v>55</v>
      </c>
      <c r="B251" s="24"/>
      <c r="C251" s="24"/>
      <c r="D251" s="24"/>
      <c r="E251" s="24"/>
      <c r="F251" s="25">
        <f t="shared" si="27"/>
        <v>0</v>
      </c>
    </row>
    <row r="252" spans="1:6" x14ac:dyDescent="0.3">
      <c r="A252" s="24" t="s">
        <v>56</v>
      </c>
      <c r="B252" s="24"/>
      <c r="C252" s="24"/>
      <c r="D252" s="24"/>
      <c r="E252" s="24"/>
      <c r="F252" s="25">
        <f t="shared" si="27"/>
        <v>0</v>
      </c>
    </row>
    <row r="253" spans="1:6" x14ac:dyDescent="0.3">
      <c r="A253" s="24" t="s">
        <v>57</v>
      </c>
      <c r="B253" s="24"/>
      <c r="C253" s="24"/>
      <c r="D253" s="24"/>
      <c r="E253" s="24"/>
      <c r="F253" s="25">
        <f t="shared" si="27"/>
        <v>0</v>
      </c>
    </row>
    <row r="254" spans="1:6" x14ac:dyDescent="0.3">
      <c r="A254" s="24" t="s">
        <v>58</v>
      </c>
      <c r="B254" s="24"/>
      <c r="C254" s="24"/>
      <c r="D254" s="24"/>
      <c r="E254" s="24"/>
      <c r="F254" s="25">
        <f t="shared" si="27"/>
        <v>0</v>
      </c>
    </row>
    <row r="255" spans="1:6" x14ac:dyDescent="0.3">
      <c r="A255" s="24" t="s">
        <v>59</v>
      </c>
      <c r="B255" s="24"/>
      <c r="C255" s="24"/>
      <c r="D255" s="24"/>
      <c r="E255" s="24"/>
      <c r="F255" s="25">
        <f t="shared" si="27"/>
        <v>0</v>
      </c>
    </row>
    <row r="256" spans="1:6" x14ac:dyDescent="0.3">
      <c r="A256" s="24" t="s">
        <v>60</v>
      </c>
      <c r="B256" s="24"/>
      <c r="C256" s="24"/>
      <c r="D256" s="24"/>
      <c r="E256" s="24"/>
      <c r="F256" s="25">
        <f t="shared" si="27"/>
        <v>0</v>
      </c>
    </row>
    <row r="257" spans="1:6" x14ac:dyDescent="0.3">
      <c r="A257" s="24" t="s">
        <v>60</v>
      </c>
      <c r="B257" s="24"/>
      <c r="C257" s="24"/>
      <c r="D257" s="24"/>
      <c r="E257" s="24"/>
      <c r="F257" s="25">
        <f t="shared" si="27"/>
        <v>0</v>
      </c>
    </row>
    <row r="258" spans="1:6" x14ac:dyDescent="0.3">
      <c r="A258" s="24" t="s">
        <v>61</v>
      </c>
      <c r="B258" s="24"/>
      <c r="C258" s="24"/>
      <c r="D258" s="24"/>
      <c r="E258" s="24"/>
      <c r="F258" s="25">
        <f t="shared" si="27"/>
        <v>0</v>
      </c>
    </row>
    <row r="259" spans="1:6" x14ac:dyDescent="0.3">
      <c r="A259" s="24"/>
      <c r="B259" s="24"/>
      <c r="C259" s="24"/>
      <c r="D259" s="24"/>
      <c r="E259" s="24"/>
      <c r="F259" s="25"/>
    </row>
    <row r="260" spans="1:6" ht="15.75" customHeight="1" x14ac:dyDescent="0.3">
      <c r="A260" s="26" t="s">
        <v>62</v>
      </c>
      <c r="B260" s="27"/>
      <c r="C260" s="27"/>
      <c r="D260" s="27"/>
      <c r="E260" s="27"/>
      <c r="F260" s="28">
        <f>SUM(F249:F259)</f>
        <v>0</v>
      </c>
    </row>
    <row r="261" spans="1:6" ht="15.75" customHeight="1" x14ac:dyDescent="0.3">
      <c r="A261" s="31"/>
      <c r="F261" s="32"/>
    </row>
    <row r="262" spans="1:6" ht="15.75" customHeight="1" x14ac:dyDescent="0.3">
      <c r="A262" s="31"/>
      <c r="F262" s="32"/>
    </row>
    <row r="263" spans="1:6" x14ac:dyDescent="0.3">
      <c r="A263" s="22" t="s">
        <v>33</v>
      </c>
    </row>
    <row r="264" spans="1:6" ht="30" customHeight="1" x14ac:dyDescent="0.3">
      <c r="A264" s="30" t="s">
        <v>47</v>
      </c>
      <c r="B264" s="30" t="s">
        <v>48</v>
      </c>
      <c r="C264" s="30" t="s">
        <v>49</v>
      </c>
      <c r="D264" s="30" t="s">
        <v>50</v>
      </c>
      <c r="E264" s="30" t="s">
        <v>51</v>
      </c>
      <c r="F264" s="30" t="s">
        <v>52</v>
      </c>
    </row>
    <row r="265" spans="1:6" x14ac:dyDescent="0.3">
      <c r="A265" s="24" t="s">
        <v>53</v>
      </c>
      <c r="B265" s="24"/>
      <c r="C265" s="24"/>
      <c r="D265" s="24"/>
      <c r="E265" s="24"/>
      <c r="F265" s="25">
        <f t="shared" ref="F265:F274" si="28">D265*E265</f>
        <v>0</v>
      </c>
    </row>
    <row r="266" spans="1:6" x14ac:dyDescent="0.3">
      <c r="A266" s="24" t="s">
        <v>54</v>
      </c>
      <c r="B266" s="24"/>
      <c r="C266" s="24"/>
      <c r="D266" s="24"/>
      <c r="E266" s="24"/>
      <c r="F266" s="25">
        <f t="shared" si="28"/>
        <v>0</v>
      </c>
    </row>
    <row r="267" spans="1:6" x14ac:dyDescent="0.3">
      <c r="A267" s="24" t="s">
        <v>55</v>
      </c>
      <c r="B267" s="24"/>
      <c r="C267" s="24"/>
      <c r="D267" s="24"/>
      <c r="E267" s="24"/>
      <c r="F267" s="25">
        <f t="shared" si="28"/>
        <v>0</v>
      </c>
    </row>
    <row r="268" spans="1:6" x14ac:dyDescent="0.3">
      <c r="A268" s="24" t="s">
        <v>56</v>
      </c>
      <c r="B268" s="24"/>
      <c r="C268" s="24"/>
      <c r="D268" s="24"/>
      <c r="E268" s="24"/>
      <c r="F268" s="25">
        <f t="shared" si="28"/>
        <v>0</v>
      </c>
    </row>
    <row r="269" spans="1:6" x14ac:dyDescent="0.3">
      <c r="A269" s="24" t="s">
        <v>57</v>
      </c>
      <c r="B269" s="24"/>
      <c r="C269" s="24"/>
      <c r="D269" s="24"/>
      <c r="E269" s="24"/>
      <c r="F269" s="25">
        <f t="shared" si="28"/>
        <v>0</v>
      </c>
    </row>
    <row r="270" spans="1:6" x14ac:dyDescent="0.3">
      <c r="A270" s="24" t="s">
        <v>58</v>
      </c>
      <c r="B270" s="24"/>
      <c r="C270" s="24"/>
      <c r="D270" s="24"/>
      <c r="E270" s="24"/>
      <c r="F270" s="25">
        <f t="shared" si="28"/>
        <v>0</v>
      </c>
    </row>
    <row r="271" spans="1:6" x14ac:dyDescent="0.3">
      <c r="A271" s="24" t="s">
        <v>59</v>
      </c>
      <c r="B271" s="24"/>
      <c r="C271" s="24"/>
      <c r="D271" s="24"/>
      <c r="E271" s="24"/>
      <c r="F271" s="25">
        <f t="shared" si="28"/>
        <v>0</v>
      </c>
    </row>
    <row r="272" spans="1:6" x14ac:dyDescent="0.3">
      <c r="A272" s="24" t="s">
        <v>60</v>
      </c>
      <c r="B272" s="24"/>
      <c r="C272" s="24"/>
      <c r="D272" s="24"/>
      <c r="E272" s="24"/>
      <c r="F272" s="25">
        <f t="shared" si="28"/>
        <v>0</v>
      </c>
    </row>
    <row r="273" spans="1:6" x14ac:dyDescent="0.3">
      <c r="A273" s="24" t="s">
        <v>60</v>
      </c>
      <c r="B273" s="24"/>
      <c r="C273" s="24"/>
      <c r="D273" s="24"/>
      <c r="E273" s="24"/>
      <c r="F273" s="25">
        <f t="shared" si="28"/>
        <v>0</v>
      </c>
    </row>
    <row r="274" spans="1:6" x14ac:dyDescent="0.3">
      <c r="A274" s="24" t="s">
        <v>61</v>
      </c>
      <c r="B274" s="24"/>
      <c r="C274" s="24"/>
      <c r="D274" s="24"/>
      <c r="E274" s="24"/>
      <c r="F274" s="25">
        <f t="shared" si="28"/>
        <v>0</v>
      </c>
    </row>
    <row r="275" spans="1:6" x14ac:dyDescent="0.3">
      <c r="A275" s="24"/>
      <c r="B275" s="24"/>
      <c r="C275" s="24"/>
      <c r="D275" s="24"/>
      <c r="E275" s="24"/>
      <c r="F275" s="25"/>
    </row>
    <row r="276" spans="1:6" ht="15.75" customHeight="1" x14ac:dyDescent="0.3">
      <c r="A276" s="26" t="s">
        <v>62</v>
      </c>
      <c r="B276" s="27"/>
      <c r="C276" s="27"/>
      <c r="D276" s="27"/>
      <c r="E276" s="27"/>
      <c r="F276" s="28">
        <f>SUM(F265:F275)</f>
        <v>0</v>
      </c>
    </row>
    <row r="277" spans="1:6" ht="15.75" customHeight="1" x14ac:dyDescent="0.3">
      <c r="A277" s="31"/>
      <c r="F277" s="32"/>
    </row>
    <row r="278" spans="1:6" ht="15.75" customHeight="1" x14ac:dyDescent="0.3">
      <c r="A278" s="31"/>
      <c r="F278" s="32"/>
    </row>
    <row r="279" spans="1:6" x14ac:dyDescent="0.3">
      <c r="A279" s="22" t="s">
        <v>63</v>
      </c>
    </row>
    <row r="280" spans="1:6" ht="30" customHeight="1" x14ac:dyDescent="0.3">
      <c r="A280" s="30" t="s">
        <v>47</v>
      </c>
      <c r="B280" s="30" t="s">
        <v>48</v>
      </c>
      <c r="C280" s="30" t="s">
        <v>49</v>
      </c>
      <c r="D280" s="30" t="s">
        <v>50</v>
      </c>
      <c r="E280" s="30" t="s">
        <v>51</v>
      </c>
      <c r="F280" s="30" t="s">
        <v>52</v>
      </c>
    </row>
    <row r="281" spans="1:6" x14ac:dyDescent="0.3">
      <c r="A281" s="24" t="s">
        <v>53</v>
      </c>
      <c r="B281" s="24"/>
      <c r="C281" s="24"/>
      <c r="D281" s="24"/>
      <c r="E281" s="24"/>
      <c r="F281" s="25">
        <f t="shared" ref="F281:F290" si="29">D281*E281</f>
        <v>0</v>
      </c>
    </row>
    <row r="282" spans="1:6" x14ac:dyDescent="0.3">
      <c r="A282" s="24" t="s">
        <v>54</v>
      </c>
      <c r="B282" s="24"/>
      <c r="C282" s="24"/>
      <c r="D282" s="24"/>
      <c r="E282" s="24"/>
      <c r="F282" s="25">
        <f t="shared" si="29"/>
        <v>0</v>
      </c>
    </row>
    <row r="283" spans="1:6" x14ac:dyDescent="0.3">
      <c r="A283" s="24" t="s">
        <v>55</v>
      </c>
      <c r="B283" s="24"/>
      <c r="C283" s="24"/>
      <c r="D283" s="24"/>
      <c r="E283" s="24"/>
      <c r="F283" s="25">
        <f t="shared" si="29"/>
        <v>0</v>
      </c>
    </row>
    <row r="284" spans="1:6" x14ac:dyDescent="0.3">
      <c r="A284" s="24" t="s">
        <v>56</v>
      </c>
      <c r="B284" s="24"/>
      <c r="C284" s="24"/>
      <c r="D284" s="24"/>
      <c r="E284" s="24"/>
      <c r="F284" s="25">
        <f t="shared" si="29"/>
        <v>0</v>
      </c>
    </row>
    <row r="285" spans="1:6" x14ac:dyDescent="0.3">
      <c r="A285" s="24" t="s">
        <v>57</v>
      </c>
      <c r="B285" s="24"/>
      <c r="C285" s="24"/>
      <c r="D285" s="24"/>
      <c r="E285" s="24"/>
      <c r="F285" s="25">
        <f t="shared" si="29"/>
        <v>0</v>
      </c>
    </row>
    <row r="286" spans="1:6" x14ac:dyDescent="0.3">
      <c r="A286" s="24" t="s">
        <v>58</v>
      </c>
      <c r="B286" s="24"/>
      <c r="C286" s="24"/>
      <c r="D286" s="24"/>
      <c r="E286" s="24"/>
      <c r="F286" s="25">
        <f t="shared" si="29"/>
        <v>0</v>
      </c>
    </row>
    <row r="287" spans="1:6" x14ac:dyDescent="0.3">
      <c r="A287" s="24" t="s">
        <v>59</v>
      </c>
      <c r="B287" s="24"/>
      <c r="C287" s="24"/>
      <c r="D287" s="24"/>
      <c r="E287" s="24"/>
      <c r="F287" s="25">
        <f t="shared" si="29"/>
        <v>0</v>
      </c>
    </row>
    <row r="288" spans="1:6" x14ac:dyDescent="0.3">
      <c r="A288" s="24" t="s">
        <v>60</v>
      </c>
      <c r="B288" s="24"/>
      <c r="C288" s="24"/>
      <c r="D288" s="24"/>
      <c r="E288" s="24"/>
      <c r="F288" s="25">
        <f t="shared" si="29"/>
        <v>0</v>
      </c>
    </row>
    <row r="289" spans="1:6" x14ac:dyDescent="0.3">
      <c r="A289" s="24" t="s">
        <v>60</v>
      </c>
      <c r="B289" s="24"/>
      <c r="C289" s="24"/>
      <c r="D289" s="24"/>
      <c r="E289" s="24"/>
      <c r="F289" s="25">
        <f t="shared" si="29"/>
        <v>0</v>
      </c>
    </row>
    <row r="290" spans="1:6" x14ac:dyDescent="0.3">
      <c r="A290" s="24" t="s">
        <v>61</v>
      </c>
      <c r="B290" s="24"/>
      <c r="C290" s="24"/>
      <c r="D290" s="24"/>
      <c r="E290" s="24"/>
      <c r="F290" s="25">
        <f t="shared" si="29"/>
        <v>0</v>
      </c>
    </row>
    <row r="291" spans="1:6" x14ac:dyDescent="0.3">
      <c r="A291" s="24"/>
      <c r="B291" s="24"/>
      <c r="C291" s="24"/>
      <c r="D291" s="24"/>
      <c r="E291" s="24"/>
      <c r="F291" s="25"/>
    </row>
    <row r="292" spans="1:6" ht="15.75" customHeight="1" x14ac:dyDescent="0.3">
      <c r="A292" s="26" t="s">
        <v>62</v>
      </c>
      <c r="B292" s="27"/>
      <c r="C292" s="27"/>
      <c r="D292" s="27"/>
      <c r="E292" s="27"/>
      <c r="F292" s="28">
        <f>SUM(F281:F291)</f>
        <v>0</v>
      </c>
    </row>
    <row r="293" spans="1:6" ht="15.75" customHeight="1" x14ac:dyDescent="0.3">
      <c r="A293" s="31"/>
      <c r="F293" s="32"/>
    </row>
    <row r="295" spans="1:6" x14ac:dyDescent="0.3">
      <c r="A295" s="17" t="s">
        <v>35</v>
      </c>
    </row>
    <row r="296" spans="1:6" ht="30" customHeight="1" x14ac:dyDescent="0.3">
      <c r="A296" s="23" t="s">
        <v>47</v>
      </c>
      <c r="B296" s="23" t="s">
        <v>48</v>
      </c>
      <c r="C296" s="23" t="s">
        <v>49</v>
      </c>
      <c r="D296" s="23" t="s">
        <v>50</v>
      </c>
      <c r="E296" s="23" t="s">
        <v>51</v>
      </c>
      <c r="F296" s="23" t="s">
        <v>52</v>
      </c>
    </row>
    <row r="297" spans="1:6" x14ac:dyDescent="0.3">
      <c r="A297" s="24" t="s">
        <v>53</v>
      </c>
      <c r="B297" s="25"/>
      <c r="C297" s="25"/>
      <c r="D297" s="25"/>
      <c r="E297" s="24"/>
      <c r="F297" s="25">
        <f t="shared" ref="F297:F306" si="30">D297*E297</f>
        <v>0</v>
      </c>
    </row>
    <row r="298" spans="1:6" x14ac:dyDescent="0.3">
      <c r="A298" s="24" t="s">
        <v>54</v>
      </c>
      <c r="B298" s="25"/>
      <c r="C298" s="25"/>
      <c r="D298" s="25"/>
      <c r="E298" s="24"/>
      <c r="F298" s="25">
        <f t="shared" si="30"/>
        <v>0</v>
      </c>
    </row>
    <row r="299" spans="1:6" x14ac:dyDescent="0.3">
      <c r="A299" s="24" t="s">
        <v>55</v>
      </c>
      <c r="B299" s="25"/>
      <c r="C299" s="25"/>
      <c r="D299" s="25"/>
      <c r="E299" s="24"/>
      <c r="F299" s="25">
        <f t="shared" si="30"/>
        <v>0</v>
      </c>
    </row>
    <row r="300" spans="1:6" x14ac:dyDescent="0.3">
      <c r="A300" s="24" t="s">
        <v>56</v>
      </c>
      <c r="B300" s="25"/>
      <c r="C300" s="25"/>
      <c r="D300" s="25"/>
      <c r="E300" s="24"/>
      <c r="F300" s="25">
        <f t="shared" si="30"/>
        <v>0</v>
      </c>
    </row>
    <row r="301" spans="1:6" x14ac:dyDescent="0.3">
      <c r="A301" s="24" t="s">
        <v>57</v>
      </c>
      <c r="B301" s="25"/>
      <c r="C301" s="25"/>
      <c r="D301" s="25"/>
      <c r="E301" s="24"/>
      <c r="F301" s="25">
        <f t="shared" si="30"/>
        <v>0</v>
      </c>
    </row>
    <row r="302" spans="1:6" x14ac:dyDescent="0.3">
      <c r="A302" s="24" t="s">
        <v>58</v>
      </c>
      <c r="B302" s="25"/>
      <c r="C302" s="25"/>
      <c r="D302" s="25"/>
      <c r="E302" s="24"/>
      <c r="F302" s="25">
        <f t="shared" si="30"/>
        <v>0</v>
      </c>
    </row>
    <row r="303" spans="1:6" x14ac:dyDescent="0.3">
      <c r="A303" s="24" t="s">
        <v>59</v>
      </c>
      <c r="B303" s="25"/>
      <c r="C303" s="25"/>
      <c r="D303" s="25"/>
      <c r="E303" s="24"/>
      <c r="F303" s="25">
        <f t="shared" si="30"/>
        <v>0</v>
      </c>
    </row>
    <row r="304" spans="1:6" x14ac:dyDescent="0.3">
      <c r="A304" s="24" t="s">
        <v>60</v>
      </c>
      <c r="B304" s="25"/>
      <c r="C304" s="25"/>
      <c r="D304" s="25"/>
      <c r="E304" s="24"/>
      <c r="F304" s="25">
        <f t="shared" si="30"/>
        <v>0</v>
      </c>
    </row>
    <row r="305" spans="1:6" x14ac:dyDescent="0.3">
      <c r="A305" s="24" t="s">
        <v>60</v>
      </c>
      <c r="B305" s="25"/>
      <c r="C305" s="25"/>
      <c r="D305" s="25"/>
      <c r="E305" s="24"/>
      <c r="F305" s="25">
        <f t="shared" si="30"/>
        <v>0</v>
      </c>
    </row>
    <row r="306" spans="1:6" x14ac:dyDescent="0.3">
      <c r="A306" s="24" t="s">
        <v>61</v>
      </c>
      <c r="B306" s="25"/>
      <c r="C306" s="25"/>
      <c r="D306" s="25"/>
      <c r="E306" s="24"/>
      <c r="F306" s="25">
        <f t="shared" si="30"/>
        <v>0</v>
      </c>
    </row>
    <row r="307" spans="1:6" x14ac:dyDescent="0.3">
      <c r="A307" s="24"/>
      <c r="B307" s="24"/>
      <c r="C307" s="24"/>
      <c r="D307" s="24"/>
      <c r="E307" s="24"/>
      <c r="F307" s="25"/>
    </row>
    <row r="308" spans="1:6" ht="15.75" customHeight="1" x14ac:dyDescent="0.3">
      <c r="A308" s="26" t="s">
        <v>62</v>
      </c>
      <c r="B308" s="27"/>
      <c r="C308" s="27"/>
      <c r="D308" s="27"/>
      <c r="E308" s="27"/>
      <c r="F308" s="28">
        <f>SUM(F297:F307)</f>
        <v>0</v>
      </c>
    </row>
    <row r="311" spans="1:6" x14ac:dyDescent="0.3">
      <c r="A311" s="17" t="s">
        <v>36</v>
      </c>
    </row>
    <row r="312" spans="1:6" ht="30" customHeight="1" x14ac:dyDescent="0.3">
      <c r="A312" s="23" t="s">
        <v>47</v>
      </c>
      <c r="B312" s="23" t="s">
        <v>48</v>
      </c>
      <c r="C312" s="23" t="s">
        <v>49</v>
      </c>
      <c r="D312" s="23" t="s">
        <v>50</v>
      </c>
      <c r="E312" s="23" t="s">
        <v>51</v>
      </c>
      <c r="F312" s="23" t="s">
        <v>52</v>
      </c>
    </row>
    <row r="313" spans="1:6" x14ac:dyDescent="0.3">
      <c r="A313" s="24" t="s">
        <v>53</v>
      </c>
      <c r="B313" s="25" t="s">
        <v>64</v>
      </c>
      <c r="C313" s="25"/>
      <c r="D313" s="25"/>
      <c r="E313" s="24"/>
      <c r="F313" s="25">
        <f t="shared" ref="F313:F322" si="31">D313*E313</f>
        <v>0</v>
      </c>
    </row>
    <row r="314" spans="1:6" x14ac:dyDescent="0.3">
      <c r="A314" s="24" t="s">
        <v>54</v>
      </c>
      <c r="B314" s="25" t="s">
        <v>65</v>
      </c>
      <c r="C314" s="25"/>
      <c r="D314" s="25"/>
      <c r="E314" s="24"/>
      <c r="F314" s="25">
        <f t="shared" si="31"/>
        <v>0</v>
      </c>
    </row>
    <row r="315" spans="1:6" x14ac:dyDescent="0.3">
      <c r="A315" s="24" t="s">
        <v>55</v>
      </c>
      <c r="B315" s="25" t="s">
        <v>65</v>
      </c>
      <c r="C315" s="25"/>
      <c r="D315" s="25"/>
      <c r="E315" s="24"/>
      <c r="F315" s="25">
        <f t="shared" si="31"/>
        <v>0</v>
      </c>
    </row>
    <row r="316" spans="1:6" x14ac:dyDescent="0.3">
      <c r="A316" s="24" t="s">
        <v>56</v>
      </c>
      <c r="B316" s="25" t="s">
        <v>64</v>
      </c>
      <c r="C316" s="25" t="s">
        <v>66</v>
      </c>
      <c r="D316" s="25">
        <v>40</v>
      </c>
      <c r="E316" s="24">
        <v>2000</v>
      </c>
      <c r="F316" s="25">
        <f t="shared" si="31"/>
        <v>80000</v>
      </c>
    </row>
    <row r="317" spans="1:6" x14ac:dyDescent="0.3">
      <c r="A317" s="24" t="s">
        <v>57</v>
      </c>
      <c r="B317" s="25" t="s">
        <v>64</v>
      </c>
      <c r="C317" s="25" t="s">
        <v>67</v>
      </c>
      <c r="D317" s="25">
        <v>500</v>
      </c>
      <c r="E317" s="24"/>
      <c r="F317" s="25">
        <f t="shared" si="31"/>
        <v>0</v>
      </c>
    </row>
    <row r="318" spans="1:6" x14ac:dyDescent="0.3">
      <c r="A318" s="24" t="s">
        <v>58</v>
      </c>
      <c r="B318" s="25" t="s">
        <v>68</v>
      </c>
      <c r="C318" s="25" t="s">
        <v>69</v>
      </c>
      <c r="D318" s="25">
        <v>100</v>
      </c>
      <c r="E318" s="24"/>
      <c r="F318" s="25">
        <f t="shared" si="31"/>
        <v>0</v>
      </c>
    </row>
    <row r="319" spans="1:6" x14ac:dyDescent="0.3">
      <c r="A319" s="24" t="s">
        <v>59</v>
      </c>
      <c r="B319" s="25" t="s">
        <v>70</v>
      </c>
      <c r="C319" s="25"/>
      <c r="D319" s="25"/>
      <c r="E319" s="24"/>
      <c r="F319" s="25">
        <f t="shared" si="31"/>
        <v>0</v>
      </c>
    </row>
    <row r="320" spans="1:6" x14ac:dyDescent="0.3">
      <c r="A320" s="24" t="s">
        <v>60</v>
      </c>
      <c r="B320" s="25" t="s">
        <v>71</v>
      </c>
      <c r="C320" s="25"/>
      <c r="D320" s="25"/>
      <c r="E320" s="24"/>
      <c r="F320" s="25">
        <f t="shared" si="31"/>
        <v>0</v>
      </c>
    </row>
    <row r="321" spans="1:6" x14ac:dyDescent="0.3">
      <c r="A321" s="24" t="s">
        <v>60</v>
      </c>
      <c r="B321" s="25"/>
      <c r="C321" s="25"/>
      <c r="D321" s="25"/>
      <c r="E321" s="24"/>
      <c r="F321" s="25">
        <f t="shared" si="31"/>
        <v>0</v>
      </c>
    </row>
    <row r="322" spans="1:6" x14ac:dyDescent="0.3">
      <c r="A322" s="24" t="s">
        <v>61</v>
      </c>
      <c r="B322" s="25" t="s">
        <v>72</v>
      </c>
      <c r="C322" s="25"/>
      <c r="D322" s="25"/>
      <c r="E322" s="24"/>
      <c r="F322" s="25">
        <f t="shared" si="31"/>
        <v>0</v>
      </c>
    </row>
    <row r="323" spans="1:6" x14ac:dyDescent="0.3">
      <c r="A323" s="24"/>
      <c r="B323" s="24"/>
      <c r="C323" s="24"/>
      <c r="D323" s="24"/>
      <c r="E323" s="24"/>
      <c r="F323" s="25"/>
    </row>
    <row r="324" spans="1:6" ht="15.75" customHeight="1" x14ac:dyDescent="0.3">
      <c r="A324" s="26" t="s">
        <v>62</v>
      </c>
      <c r="B324" s="27"/>
      <c r="C324" s="27"/>
      <c r="D324" s="27"/>
      <c r="E324" s="27"/>
      <c r="F324" s="28">
        <f>SUM(F313:F323)</f>
        <v>80000</v>
      </c>
    </row>
    <row r="327" spans="1:6" x14ac:dyDescent="0.3">
      <c r="A327" s="17" t="s">
        <v>37</v>
      </c>
    </row>
    <row r="328" spans="1:6" ht="30" customHeight="1" x14ac:dyDescent="0.3">
      <c r="A328" s="23" t="s">
        <v>47</v>
      </c>
      <c r="B328" s="23" t="s">
        <v>48</v>
      </c>
      <c r="C328" s="23" t="s">
        <v>49</v>
      </c>
      <c r="D328" s="23" t="s">
        <v>50</v>
      </c>
      <c r="E328" s="23" t="s">
        <v>51</v>
      </c>
      <c r="F328" s="23" t="s">
        <v>52</v>
      </c>
    </row>
    <row r="329" spans="1:6" x14ac:dyDescent="0.3">
      <c r="A329" s="24" t="s">
        <v>53</v>
      </c>
      <c r="B329" s="25"/>
      <c r="C329" s="25"/>
      <c r="D329" s="25"/>
      <c r="E329" s="24"/>
      <c r="F329" s="25">
        <f t="shared" ref="F329:F338" si="32">D329*E329</f>
        <v>0</v>
      </c>
    </row>
    <row r="330" spans="1:6" x14ac:dyDescent="0.3">
      <c r="A330" s="24" t="s">
        <v>54</v>
      </c>
      <c r="B330" s="25"/>
      <c r="C330" s="25"/>
      <c r="D330" s="25"/>
      <c r="E330" s="24"/>
      <c r="F330" s="25">
        <f t="shared" si="32"/>
        <v>0</v>
      </c>
    </row>
    <row r="331" spans="1:6" x14ac:dyDescent="0.3">
      <c r="A331" s="24" t="s">
        <v>55</v>
      </c>
      <c r="B331" s="25"/>
      <c r="C331" s="25"/>
      <c r="D331" s="25"/>
      <c r="E331" s="24"/>
      <c r="F331" s="25">
        <f t="shared" si="32"/>
        <v>0</v>
      </c>
    </row>
    <row r="332" spans="1:6" x14ac:dyDescent="0.3">
      <c r="A332" s="24" t="s">
        <v>56</v>
      </c>
      <c r="B332" s="25"/>
      <c r="C332" s="25"/>
      <c r="D332" s="25"/>
      <c r="E332" s="24"/>
      <c r="F332" s="25">
        <f t="shared" si="32"/>
        <v>0</v>
      </c>
    </row>
    <row r="333" spans="1:6" x14ac:dyDescent="0.3">
      <c r="A333" s="24" t="s">
        <v>57</v>
      </c>
      <c r="B333" s="25"/>
      <c r="C333" s="25"/>
      <c r="D333" s="25"/>
      <c r="E333" s="24"/>
      <c r="F333" s="25">
        <f t="shared" si="32"/>
        <v>0</v>
      </c>
    </row>
    <row r="334" spans="1:6" x14ac:dyDescent="0.3">
      <c r="A334" s="24" t="s">
        <v>58</v>
      </c>
      <c r="B334" s="25"/>
      <c r="C334" s="25"/>
      <c r="D334" s="25"/>
      <c r="E334" s="24"/>
      <c r="F334" s="25">
        <f t="shared" si="32"/>
        <v>0</v>
      </c>
    </row>
    <row r="335" spans="1:6" x14ac:dyDescent="0.3">
      <c r="A335" s="24" t="s">
        <v>59</v>
      </c>
      <c r="B335" s="25"/>
      <c r="C335" s="25"/>
      <c r="D335" s="25"/>
      <c r="E335" s="24"/>
      <c r="F335" s="25">
        <f t="shared" si="32"/>
        <v>0</v>
      </c>
    </row>
    <row r="336" spans="1:6" x14ac:dyDescent="0.3">
      <c r="A336" s="24" t="s">
        <v>60</v>
      </c>
      <c r="B336" s="25"/>
      <c r="C336" s="25"/>
      <c r="D336" s="25"/>
      <c r="E336" s="24"/>
      <c r="F336" s="25">
        <f t="shared" si="32"/>
        <v>0</v>
      </c>
    </row>
    <row r="337" spans="1:6" x14ac:dyDescent="0.3">
      <c r="A337" s="24" t="s">
        <v>60</v>
      </c>
      <c r="B337" s="25"/>
      <c r="C337" s="25"/>
      <c r="D337" s="25"/>
      <c r="E337" s="24"/>
      <c r="F337" s="25">
        <f t="shared" si="32"/>
        <v>0</v>
      </c>
    </row>
    <row r="338" spans="1:6" x14ac:dyDescent="0.3">
      <c r="A338" s="24" t="s">
        <v>61</v>
      </c>
      <c r="B338" s="25"/>
      <c r="C338" s="25"/>
      <c r="D338" s="25"/>
      <c r="E338" s="24"/>
      <c r="F338" s="25">
        <f t="shared" si="32"/>
        <v>0</v>
      </c>
    </row>
    <row r="339" spans="1:6" x14ac:dyDescent="0.3">
      <c r="A339" s="24"/>
      <c r="B339" s="24"/>
      <c r="C339" s="24"/>
      <c r="D339" s="24"/>
      <c r="E339" s="24"/>
      <c r="F339" s="25"/>
    </row>
    <row r="340" spans="1:6" ht="15.75" customHeight="1" x14ac:dyDescent="0.3">
      <c r="A340" s="26" t="s">
        <v>62</v>
      </c>
      <c r="B340" s="27"/>
      <c r="C340" s="27"/>
      <c r="D340" s="27"/>
      <c r="E340" s="27"/>
      <c r="F340" s="28">
        <f>SUM(F329:F339)</f>
        <v>0</v>
      </c>
    </row>
    <row r="343" spans="1:6" x14ac:dyDescent="0.3">
      <c r="A343" s="17" t="s">
        <v>38</v>
      </c>
    </row>
    <row r="344" spans="1:6" ht="30" customHeight="1" x14ac:dyDescent="0.3">
      <c r="A344" s="30" t="s">
        <v>47</v>
      </c>
      <c r="B344" s="30" t="s">
        <v>48</v>
      </c>
      <c r="C344" s="30" t="s">
        <v>49</v>
      </c>
      <c r="D344" s="30" t="s">
        <v>50</v>
      </c>
      <c r="E344" s="30" t="s">
        <v>51</v>
      </c>
      <c r="F344" s="30" t="s">
        <v>52</v>
      </c>
    </row>
    <row r="345" spans="1:6" x14ac:dyDescent="0.3">
      <c r="A345" s="24" t="s">
        <v>53</v>
      </c>
      <c r="B345" s="24"/>
      <c r="C345" s="24"/>
      <c r="D345" s="24"/>
      <c r="E345" s="24"/>
      <c r="F345" s="25"/>
    </row>
    <row r="346" spans="1:6" x14ac:dyDescent="0.3">
      <c r="A346" s="24" t="s">
        <v>54</v>
      </c>
      <c r="B346" s="24"/>
      <c r="C346" s="24"/>
      <c r="D346" s="24"/>
      <c r="E346" s="24"/>
      <c r="F346" s="25"/>
    </row>
    <row r="347" spans="1:6" x14ac:dyDescent="0.3">
      <c r="A347" s="24" t="s">
        <v>55</v>
      </c>
      <c r="B347" s="24"/>
      <c r="C347" s="24"/>
      <c r="D347" s="24"/>
      <c r="E347" s="24"/>
      <c r="F347" s="25"/>
    </row>
    <row r="348" spans="1:6" x14ac:dyDescent="0.3">
      <c r="A348" s="24" t="s">
        <v>56</v>
      </c>
      <c r="B348" s="24"/>
      <c r="C348" s="24"/>
      <c r="D348" s="24"/>
      <c r="E348" s="24"/>
      <c r="F348" s="25"/>
    </row>
    <row r="349" spans="1:6" x14ac:dyDescent="0.3">
      <c r="A349" s="24" t="s">
        <v>57</v>
      </c>
      <c r="B349" s="24"/>
      <c r="C349" s="24"/>
      <c r="D349" s="24"/>
      <c r="E349" s="24"/>
      <c r="F349" s="25"/>
    </row>
    <row r="350" spans="1:6" x14ac:dyDescent="0.3">
      <c r="A350" s="24" t="s">
        <v>58</v>
      </c>
      <c r="B350" s="24"/>
      <c r="C350" s="24"/>
      <c r="D350" s="24"/>
      <c r="E350" s="24"/>
      <c r="F350" s="25"/>
    </row>
    <row r="351" spans="1:6" x14ac:dyDescent="0.3">
      <c r="A351" s="24" t="s">
        <v>59</v>
      </c>
      <c r="B351" s="24"/>
      <c r="C351" s="24"/>
      <c r="D351" s="24"/>
      <c r="E351" s="24"/>
      <c r="F351" s="25"/>
    </row>
    <row r="352" spans="1:6" x14ac:dyDescent="0.3">
      <c r="A352" s="24" t="s">
        <v>60</v>
      </c>
      <c r="B352" s="24"/>
      <c r="C352" s="24"/>
      <c r="D352" s="24"/>
      <c r="E352" s="24"/>
      <c r="F352" s="25"/>
    </row>
    <row r="353" spans="1:6" x14ac:dyDescent="0.3">
      <c r="A353" s="24" t="s">
        <v>60</v>
      </c>
      <c r="B353" s="24"/>
      <c r="C353" s="24"/>
      <c r="D353" s="24"/>
      <c r="E353" s="24"/>
      <c r="F353" s="25"/>
    </row>
    <row r="354" spans="1:6" x14ac:dyDescent="0.3">
      <c r="A354" s="24" t="s">
        <v>61</v>
      </c>
      <c r="B354" s="24"/>
      <c r="C354" s="24"/>
      <c r="D354" s="24"/>
      <c r="E354" s="24"/>
      <c r="F354" s="25"/>
    </row>
    <row r="355" spans="1:6" x14ac:dyDescent="0.3">
      <c r="A355" s="24"/>
      <c r="B355" s="24"/>
      <c r="C355" s="24"/>
      <c r="D355" s="24"/>
      <c r="E355" s="24"/>
      <c r="F355" s="25"/>
    </row>
    <row r="356" spans="1:6" ht="15.75" customHeight="1" x14ac:dyDescent="0.3">
      <c r="A356" s="26" t="s">
        <v>62</v>
      </c>
      <c r="B356" s="27"/>
      <c r="C356" s="27"/>
      <c r="D356" s="27"/>
      <c r="E356" s="27"/>
      <c r="F356" s="28">
        <f>SUM(F345:F355)</f>
        <v>0</v>
      </c>
    </row>
    <row r="359" spans="1:6" x14ac:dyDescent="0.3">
      <c r="A359" s="17" t="s">
        <v>39</v>
      </c>
    </row>
    <row r="360" spans="1:6" ht="30" customHeight="1" x14ac:dyDescent="0.3">
      <c r="A360" s="30" t="s">
        <v>47</v>
      </c>
      <c r="B360" s="30" t="s">
        <v>48</v>
      </c>
      <c r="C360" s="30" t="s">
        <v>49</v>
      </c>
      <c r="D360" s="30" t="s">
        <v>50</v>
      </c>
      <c r="E360" s="30" t="s">
        <v>51</v>
      </c>
      <c r="F360" s="30" t="s">
        <v>52</v>
      </c>
    </row>
    <row r="361" spans="1:6" x14ac:dyDescent="0.3">
      <c r="A361" s="24" t="s">
        <v>53</v>
      </c>
      <c r="B361" s="24"/>
      <c r="C361" s="24"/>
      <c r="D361" s="24"/>
      <c r="E361" s="24"/>
      <c r="F361" s="25">
        <f t="shared" ref="F361:F370" si="33">D361*E361</f>
        <v>0</v>
      </c>
    </row>
    <row r="362" spans="1:6" x14ac:dyDescent="0.3">
      <c r="A362" s="24" t="s">
        <v>54</v>
      </c>
      <c r="B362" s="24"/>
      <c r="C362" s="24"/>
      <c r="D362" s="24"/>
      <c r="E362" s="24"/>
      <c r="F362" s="25">
        <f t="shared" si="33"/>
        <v>0</v>
      </c>
    </row>
    <row r="363" spans="1:6" x14ac:dyDescent="0.3">
      <c r="A363" s="24" t="s">
        <v>55</v>
      </c>
      <c r="B363" s="24"/>
      <c r="C363" s="24"/>
      <c r="D363" s="24"/>
      <c r="E363" s="24"/>
      <c r="F363" s="25">
        <f t="shared" si="33"/>
        <v>0</v>
      </c>
    </row>
    <row r="364" spans="1:6" x14ac:dyDescent="0.3">
      <c r="A364" s="24" t="s">
        <v>56</v>
      </c>
      <c r="B364" s="24"/>
      <c r="C364" s="24"/>
      <c r="D364" s="24"/>
      <c r="E364" s="24"/>
      <c r="F364" s="25">
        <f t="shared" si="33"/>
        <v>0</v>
      </c>
    </row>
    <row r="365" spans="1:6" x14ac:dyDescent="0.3">
      <c r="A365" s="24" t="s">
        <v>57</v>
      </c>
      <c r="B365" s="24"/>
      <c r="C365" s="24"/>
      <c r="D365" s="24"/>
      <c r="E365" s="24"/>
      <c r="F365" s="25">
        <f t="shared" si="33"/>
        <v>0</v>
      </c>
    </row>
    <row r="366" spans="1:6" x14ac:dyDescent="0.3">
      <c r="A366" s="24" t="s">
        <v>58</v>
      </c>
      <c r="B366" s="24"/>
      <c r="C366" s="24"/>
      <c r="D366" s="24"/>
      <c r="E366" s="24"/>
      <c r="F366" s="25">
        <f t="shared" si="33"/>
        <v>0</v>
      </c>
    </row>
    <row r="367" spans="1:6" x14ac:dyDescent="0.3">
      <c r="A367" s="24" t="s">
        <v>59</v>
      </c>
      <c r="B367" s="24"/>
      <c r="C367" s="24"/>
      <c r="D367" s="24"/>
      <c r="E367" s="24"/>
      <c r="F367" s="25">
        <f t="shared" si="33"/>
        <v>0</v>
      </c>
    </row>
    <row r="368" spans="1:6" x14ac:dyDescent="0.3">
      <c r="A368" s="24" t="s">
        <v>60</v>
      </c>
      <c r="B368" s="24"/>
      <c r="C368" s="24"/>
      <c r="D368" s="24"/>
      <c r="E368" s="24"/>
      <c r="F368" s="25">
        <f t="shared" si="33"/>
        <v>0</v>
      </c>
    </row>
    <row r="369" spans="1:6" x14ac:dyDescent="0.3">
      <c r="A369" s="24" t="s">
        <v>60</v>
      </c>
      <c r="B369" s="24"/>
      <c r="C369" s="24"/>
      <c r="D369" s="24"/>
      <c r="E369" s="24"/>
      <c r="F369" s="25">
        <f t="shared" si="33"/>
        <v>0</v>
      </c>
    </row>
    <row r="370" spans="1:6" x14ac:dyDescent="0.3">
      <c r="A370" s="24" t="s">
        <v>61</v>
      </c>
      <c r="B370" s="24"/>
      <c r="C370" s="24"/>
      <c r="D370" s="24"/>
      <c r="E370" s="24"/>
      <c r="F370" s="25">
        <f t="shared" si="33"/>
        <v>0</v>
      </c>
    </row>
    <row r="371" spans="1:6" x14ac:dyDescent="0.3">
      <c r="A371" s="24"/>
      <c r="B371" s="24"/>
      <c r="C371" s="24"/>
      <c r="D371" s="24"/>
      <c r="E371" s="24"/>
      <c r="F371" s="25"/>
    </row>
    <row r="372" spans="1:6" ht="15.75" customHeight="1" x14ac:dyDescent="0.3">
      <c r="A372" s="26" t="s">
        <v>62</v>
      </c>
      <c r="B372" s="27"/>
      <c r="C372" s="27"/>
      <c r="D372" s="27"/>
      <c r="E372" s="27"/>
      <c r="F372" s="28">
        <f>SUM(F361:F371)</f>
        <v>0</v>
      </c>
    </row>
    <row r="375" spans="1:6" x14ac:dyDescent="0.3">
      <c r="A375" s="17" t="s">
        <v>40</v>
      </c>
    </row>
    <row r="376" spans="1:6" ht="30" customHeight="1" x14ac:dyDescent="0.3">
      <c r="A376" s="30" t="s">
        <v>47</v>
      </c>
      <c r="B376" s="30" t="s">
        <v>48</v>
      </c>
      <c r="C376" s="30" t="s">
        <v>49</v>
      </c>
      <c r="D376" s="30" t="s">
        <v>50</v>
      </c>
      <c r="E376" s="30" t="s">
        <v>51</v>
      </c>
      <c r="F376" s="30" t="s">
        <v>52</v>
      </c>
    </row>
    <row r="377" spans="1:6" x14ac:dyDescent="0.3">
      <c r="A377" s="24" t="s">
        <v>53</v>
      </c>
      <c r="B377" s="24"/>
      <c r="C377" s="24"/>
      <c r="D377" s="24"/>
      <c r="E377" s="24"/>
      <c r="F377" s="25">
        <f t="shared" ref="F377:F386" si="34">D377*E377</f>
        <v>0</v>
      </c>
    </row>
    <row r="378" spans="1:6" x14ac:dyDescent="0.3">
      <c r="A378" s="24" t="s">
        <v>54</v>
      </c>
      <c r="B378" s="24"/>
      <c r="C378" s="24"/>
      <c r="D378" s="24"/>
      <c r="E378" s="24"/>
      <c r="F378" s="25">
        <f t="shared" si="34"/>
        <v>0</v>
      </c>
    </row>
    <row r="379" spans="1:6" x14ac:dyDescent="0.3">
      <c r="A379" s="24" t="s">
        <v>55</v>
      </c>
      <c r="B379" s="24"/>
      <c r="C379" s="24"/>
      <c r="D379" s="24"/>
      <c r="E379" s="24"/>
      <c r="F379" s="25">
        <f t="shared" si="34"/>
        <v>0</v>
      </c>
    </row>
    <row r="380" spans="1:6" x14ac:dyDescent="0.3">
      <c r="A380" s="24" t="s">
        <v>56</v>
      </c>
      <c r="B380" s="24"/>
      <c r="C380" s="24"/>
      <c r="D380" s="24"/>
      <c r="E380" s="24"/>
      <c r="F380" s="25">
        <f t="shared" si="34"/>
        <v>0</v>
      </c>
    </row>
    <row r="381" spans="1:6" x14ac:dyDescent="0.3">
      <c r="A381" s="24" t="s">
        <v>57</v>
      </c>
      <c r="B381" s="24"/>
      <c r="C381" s="24"/>
      <c r="D381" s="24"/>
      <c r="E381" s="24"/>
      <c r="F381" s="25">
        <f t="shared" si="34"/>
        <v>0</v>
      </c>
    </row>
    <row r="382" spans="1:6" x14ac:dyDescent="0.3">
      <c r="A382" s="24" t="s">
        <v>58</v>
      </c>
      <c r="B382" s="24"/>
      <c r="C382" s="24"/>
      <c r="D382" s="24"/>
      <c r="E382" s="24"/>
      <c r="F382" s="25">
        <f t="shared" si="34"/>
        <v>0</v>
      </c>
    </row>
    <row r="383" spans="1:6" x14ac:dyDescent="0.3">
      <c r="A383" s="24" t="s">
        <v>59</v>
      </c>
      <c r="B383" s="24"/>
      <c r="C383" s="24"/>
      <c r="D383" s="24"/>
      <c r="E383" s="24"/>
      <c r="F383" s="25">
        <f t="shared" si="34"/>
        <v>0</v>
      </c>
    </row>
    <row r="384" spans="1:6" x14ac:dyDescent="0.3">
      <c r="A384" s="24" t="s">
        <v>60</v>
      </c>
      <c r="B384" s="24"/>
      <c r="C384" s="24"/>
      <c r="D384" s="24"/>
      <c r="E384" s="24"/>
      <c r="F384" s="25">
        <f t="shared" si="34"/>
        <v>0</v>
      </c>
    </row>
    <row r="385" spans="1:6" x14ac:dyDescent="0.3">
      <c r="A385" s="24" t="s">
        <v>60</v>
      </c>
      <c r="B385" s="24"/>
      <c r="C385" s="24"/>
      <c r="D385" s="24"/>
      <c r="E385" s="24"/>
      <c r="F385" s="25">
        <f t="shared" si="34"/>
        <v>0</v>
      </c>
    </row>
    <row r="386" spans="1:6" x14ac:dyDescent="0.3">
      <c r="A386" s="24" t="s">
        <v>61</v>
      </c>
      <c r="B386" s="24"/>
      <c r="C386" s="24"/>
      <c r="D386" s="24"/>
      <c r="E386" s="24"/>
      <c r="F386" s="25">
        <f t="shared" si="34"/>
        <v>0</v>
      </c>
    </row>
    <row r="387" spans="1:6" x14ac:dyDescent="0.3">
      <c r="A387" s="24"/>
      <c r="B387" s="24"/>
      <c r="C387" s="24"/>
      <c r="D387" s="24"/>
      <c r="E387" s="24"/>
      <c r="F387" s="25"/>
    </row>
    <row r="388" spans="1:6" ht="15.75" customHeight="1" x14ac:dyDescent="0.3">
      <c r="A388" s="26" t="s">
        <v>62</v>
      </c>
      <c r="B388" s="27"/>
      <c r="C388" s="27"/>
      <c r="D388" s="27"/>
      <c r="E388" s="27"/>
      <c r="F388" s="28">
        <f>SUM(F377:F387)</f>
        <v>0</v>
      </c>
    </row>
    <row r="391" spans="1:6" x14ac:dyDescent="0.3">
      <c r="A391" s="17" t="s">
        <v>23</v>
      </c>
    </row>
    <row r="392" spans="1:6" ht="30" customHeight="1" x14ac:dyDescent="0.3">
      <c r="A392" s="30" t="s">
        <v>47</v>
      </c>
      <c r="B392" s="30" t="s">
        <v>48</v>
      </c>
      <c r="C392" s="30" t="s">
        <v>49</v>
      </c>
      <c r="D392" s="30" t="s">
        <v>50</v>
      </c>
      <c r="E392" s="30" t="s">
        <v>51</v>
      </c>
      <c r="F392" s="30" t="s">
        <v>52</v>
      </c>
    </row>
    <row r="393" spans="1:6" x14ac:dyDescent="0.3">
      <c r="A393" s="24" t="s">
        <v>53</v>
      </c>
      <c r="B393" s="24"/>
      <c r="C393" s="24"/>
      <c r="D393" s="24"/>
      <c r="E393" s="24"/>
      <c r="F393" s="25">
        <f t="shared" ref="F393:F402" si="35">D393*E393</f>
        <v>0</v>
      </c>
    </row>
    <row r="394" spans="1:6" x14ac:dyDescent="0.3">
      <c r="A394" s="24" t="s">
        <v>54</v>
      </c>
      <c r="B394" s="24"/>
      <c r="C394" s="24"/>
      <c r="D394" s="24"/>
      <c r="E394" s="24"/>
      <c r="F394" s="25">
        <f t="shared" si="35"/>
        <v>0</v>
      </c>
    </row>
    <row r="395" spans="1:6" x14ac:dyDescent="0.3">
      <c r="A395" s="24" t="s">
        <v>55</v>
      </c>
      <c r="B395" s="24"/>
      <c r="C395" s="24"/>
      <c r="D395" s="24"/>
      <c r="E395" s="24"/>
      <c r="F395" s="25">
        <f t="shared" si="35"/>
        <v>0</v>
      </c>
    </row>
    <row r="396" spans="1:6" x14ac:dyDescent="0.3">
      <c r="A396" s="24" t="s">
        <v>56</v>
      </c>
      <c r="B396" s="24"/>
      <c r="C396" s="24"/>
      <c r="D396" s="24"/>
      <c r="E396" s="24"/>
      <c r="F396" s="25">
        <f t="shared" si="35"/>
        <v>0</v>
      </c>
    </row>
    <row r="397" spans="1:6" x14ac:dyDescent="0.3">
      <c r="A397" s="24" t="s">
        <v>57</v>
      </c>
      <c r="B397" s="24"/>
      <c r="C397" s="24"/>
      <c r="D397" s="24"/>
      <c r="E397" s="24"/>
      <c r="F397" s="25">
        <f t="shared" si="35"/>
        <v>0</v>
      </c>
    </row>
    <row r="398" spans="1:6" x14ac:dyDescent="0.3">
      <c r="A398" s="24" t="s">
        <v>58</v>
      </c>
      <c r="B398" s="24"/>
      <c r="C398" s="24"/>
      <c r="D398" s="24"/>
      <c r="E398" s="24"/>
      <c r="F398" s="25">
        <f t="shared" si="35"/>
        <v>0</v>
      </c>
    </row>
    <row r="399" spans="1:6" x14ac:dyDescent="0.3">
      <c r="A399" s="24" t="s">
        <v>59</v>
      </c>
      <c r="B399" s="24"/>
      <c r="C399" s="24"/>
      <c r="D399" s="24"/>
      <c r="E399" s="24"/>
      <c r="F399" s="25">
        <f t="shared" si="35"/>
        <v>0</v>
      </c>
    </row>
    <row r="400" spans="1:6" x14ac:dyDescent="0.3">
      <c r="A400" s="24" t="s">
        <v>60</v>
      </c>
      <c r="B400" s="24"/>
      <c r="C400" s="24"/>
      <c r="D400" s="24"/>
      <c r="E400" s="24"/>
      <c r="F400" s="25">
        <f t="shared" si="35"/>
        <v>0</v>
      </c>
    </row>
    <row r="401" spans="1:6" x14ac:dyDescent="0.3">
      <c r="A401" s="24" t="s">
        <v>60</v>
      </c>
      <c r="B401" s="24"/>
      <c r="C401" s="24"/>
      <c r="D401" s="24"/>
      <c r="E401" s="24"/>
      <c r="F401" s="25">
        <f t="shared" si="35"/>
        <v>0</v>
      </c>
    </row>
    <row r="402" spans="1:6" x14ac:dyDescent="0.3">
      <c r="A402" s="24" t="s">
        <v>61</v>
      </c>
      <c r="B402" s="24"/>
      <c r="C402" s="24"/>
      <c r="D402" s="24"/>
      <c r="E402" s="24"/>
      <c r="F402" s="25">
        <f t="shared" si="35"/>
        <v>0</v>
      </c>
    </row>
    <row r="403" spans="1:6" x14ac:dyDescent="0.3">
      <c r="A403" s="24"/>
      <c r="B403" s="24"/>
      <c r="C403" s="24"/>
      <c r="D403" s="24"/>
      <c r="E403" s="24"/>
      <c r="F403" s="25"/>
    </row>
    <row r="404" spans="1:6" ht="15.75" customHeight="1" x14ac:dyDescent="0.3">
      <c r="A404" s="26" t="s">
        <v>62</v>
      </c>
      <c r="B404" s="27"/>
      <c r="C404" s="27"/>
      <c r="D404" s="27"/>
      <c r="E404" s="27"/>
      <c r="F404" s="28">
        <f>SUM(F393:F403)</f>
        <v>0</v>
      </c>
    </row>
    <row r="408" spans="1:6" x14ac:dyDescent="0.3">
      <c r="A408" s="17" t="s">
        <v>41</v>
      </c>
    </row>
    <row r="409" spans="1:6" ht="30" customHeight="1" x14ac:dyDescent="0.3">
      <c r="A409" s="23" t="s">
        <v>47</v>
      </c>
      <c r="B409" s="23" t="s">
        <v>48</v>
      </c>
      <c r="C409" s="23" t="s">
        <v>49</v>
      </c>
      <c r="D409" s="23" t="s">
        <v>50</v>
      </c>
      <c r="E409" s="23" t="s">
        <v>51</v>
      </c>
      <c r="F409" s="23" t="s">
        <v>52</v>
      </c>
    </row>
    <row r="410" spans="1:6" x14ac:dyDescent="0.3">
      <c r="A410" s="24" t="s">
        <v>53</v>
      </c>
      <c r="B410" s="25">
        <f t="shared" ref="B410:D419" si="36">B426+B442+B458</f>
        <v>0</v>
      </c>
      <c r="C410" s="25">
        <f t="shared" si="36"/>
        <v>0</v>
      </c>
      <c r="D410" s="25">
        <f t="shared" si="36"/>
        <v>0</v>
      </c>
      <c r="E410" s="24"/>
      <c r="F410" s="25">
        <f t="shared" ref="F410:F419" si="37">D410*E410</f>
        <v>0</v>
      </c>
    </row>
    <row r="411" spans="1:6" x14ac:dyDescent="0.3">
      <c r="A411" s="24" t="s">
        <v>54</v>
      </c>
      <c r="B411" s="25">
        <f t="shared" si="36"/>
        <v>0</v>
      </c>
      <c r="C411" s="25">
        <f t="shared" si="36"/>
        <v>0</v>
      </c>
      <c r="D411" s="25">
        <f t="shared" si="36"/>
        <v>0</v>
      </c>
      <c r="E411" s="24"/>
      <c r="F411" s="25">
        <f t="shared" si="37"/>
        <v>0</v>
      </c>
    </row>
    <row r="412" spans="1:6" x14ac:dyDescent="0.3">
      <c r="A412" s="24" t="s">
        <v>55</v>
      </c>
      <c r="B412" s="25">
        <f t="shared" si="36"/>
        <v>0</v>
      </c>
      <c r="C412" s="25">
        <f t="shared" si="36"/>
        <v>0</v>
      </c>
      <c r="D412" s="25">
        <f t="shared" si="36"/>
        <v>0</v>
      </c>
      <c r="E412" s="24"/>
      <c r="F412" s="25">
        <f t="shared" si="37"/>
        <v>0</v>
      </c>
    </row>
    <row r="413" spans="1:6" x14ac:dyDescent="0.3">
      <c r="A413" s="24" t="s">
        <v>56</v>
      </c>
      <c r="B413" s="25">
        <f t="shared" si="36"/>
        <v>0</v>
      </c>
      <c r="C413" s="25">
        <f t="shared" si="36"/>
        <v>0</v>
      </c>
      <c r="D413" s="25">
        <f t="shared" si="36"/>
        <v>0</v>
      </c>
      <c r="E413" s="24"/>
      <c r="F413" s="25">
        <f t="shared" si="37"/>
        <v>0</v>
      </c>
    </row>
    <row r="414" spans="1:6" x14ac:dyDescent="0.3">
      <c r="A414" s="24" t="s">
        <v>57</v>
      </c>
      <c r="B414" s="25">
        <f t="shared" si="36"/>
        <v>0</v>
      </c>
      <c r="C414" s="25">
        <f t="shared" si="36"/>
        <v>0</v>
      </c>
      <c r="D414" s="25">
        <f t="shared" si="36"/>
        <v>0</v>
      </c>
      <c r="E414" s="24"/>
      <c r="F414" s="25">
        <f t="shared" si="37"/>
        <v>0</v>
      </c>
    </row>
    <row r="415" spans="1:6" x14ac:dyDescent="0.3">
      <c r="A415" s="24" t="s">
        <v>58</v>
      </c>
      <c r="B415" s="25">
        <f t="shared" si="36"/>
        <v>0</v>
      </c>
      <c r="C415" s="25">
        <f t="shared" si="36"/>
        <v>0</v>
      </c>
      <c r="D415" s="25">
        <f t="shared" si="36"/>
        <v>0</v>
      </c>
      <c r="E415" s="24"/>
      <c r="F415" s="25">
        <f t="shared" si="37"/>
        <v>0</v>
      </c>
    </row>
    <row r="416" spans="1:6" x14ac:dyDescent="0.3">
      <c r="A416" s="24" t="s">
        <v>59</v>
      </c>
      <c r="B416" s="25">
        <f t="shared" si="36"/>
        <v>0</v>
      </c>
      <c r="C416" s="25">
        <f t="shared" si="36"/>
        <v>0</v>
      </c>
      <c r="D416" s="25">
        <f t="shared" si="36"/>
        <v>0</v>
      </c>
      <c r="E416" s="24"/>
      <c r="F416" s="25">
        <f t="shared" si="37"/>
        <v>0</v>
      </c>
    </row>
    <row r="417" spans="1:6" x14ac:dyDescent="0.3">
      <c r="A417" s="24" t="s">
        <v>60</v>
      </c>
      <c r="B417" s="25">
        <f t="shared" si="36"/>
        <v>0</v>
      </c>
      <c r="C417" s="25">
        <f t="shared" si="36"/>
        <v>0</v>
      </c>
      <c r="D417" s="25">
        <f t="shared" si="36"/>
        <v>0</v>
      </c>
      <c r="E417" s="24"/>
      <c r="F417" s="25">
        <f t="shared" si="37"/>
        <v>0</v>
      </c>
    </row>
    <row r="418" spans="1:6" x14ac:dyDescent="0.3">
      <c r="A418" s="24" t="s">
        <v>60</v>
      </c>
      <c r="B418" s="25">
        <f t="shared" si="36"/>
        <v>0</v>
      </c>
      <c r="C418" s="25">
        <f t="shared" si="36"/>
        <v>0</v>
      </c>
      <c r="D418" s="25">
        <f t="shared" si="36"/>
        <v>0</v>
      </c>
      <c r="E418" s="24"/>
      <c r="F418" s="25">
        <f t="shared" si="37"/>
        <v>0</v>
      </c>
    </row>
    <row r="419" spans="1:6" x14ac:dyDescent="0.3">
      <c r="A419" s="24" t="s">
        <v>61</v>
      </c>
      <c r="B419" s="25">
        <f t="shared" si="36"/>
        <v>0</v>
      </c>
      <c r="C419" s="25">
        <f t="shared" si="36"/>
        <v>0</v>
      </c>
      <c r="D419" s="25">
        <f t="shared" si="36"/>
        <v>0</v>
      </c>
      <c r="E419" s="24"/>
      <c r="F419" s="25">
        <f t="shared" si="37"/>
        <v>0</v>
      </c>
    </row>
    <row r="420" spans="1:6" x14ac:dyDescent="0.3">
      <c r="A420" s="24"/>
      <c r="B420" s="24"/>
      <c r="C420" s="24"/>
      <c r="D420" s="24"/>
      <c r="E420" s="24"/>
      <c r="F420" s="25"/>
    </row>
    <row r="421" spans="1:6" ht="15.75" customHeight="1" x14ac:dyDescent="0.3">
      <c r="A421" s="26" t="s">
        <v>62</v>
      </c>
      <c r="B421" s="27"/>
      <c r="C421" s="27"/>
      <c r="D421" s="27"/>
      <c r="E421" s="27"/>
      <c r="F421" s="28">
        <f>SUM(F410:F420)</f>
        <v>0</v>
      </c>
    </row>
    <row r="424" spans="1:6" x14ac:dyDescent="0.3">
      <c r="A424" s="17" t="s">
        <v>42</v>
      </c>
    </row>
    <row r="425" spans="1:6" ht="30" customHeight="1" x14ac:dyDescent="0.3">
      <c r="A425" s="30" t="s">
        <v>47</v>
      </c>
      <c r="B425" s="30" t="s">
        <v>48</v>
      </c>
      <c r="C425" s="30" t="s">
        <v>49</v>
      </c>
      <c r="D425" s="30" t="s">
        <v>50</v>
      </c>
      <c r="E425" s="30" t="s">
        <v>51</v>
      </c>
      <c r="F425" s="30" t="s">
        <v>52</v>
      </c>
    </row>
    <row r="426" spans="1:6" x14ac:dyDescent="0.3">
      <c r="A426" s="24" t="s">
        <v>53</v>
      </c>
      <c r="B426" s="24"/>
      <c r="C426" s="24"/>
      <c r="D426" s="24"/>
      <c r="E426" s="24"/>
      <c r="F426" s="25">
        <f t="shared" ref="F426:F435" si="38">D426*E426</f>
        <v>0</v>
      </c>
    </row>
    <row r="427" spans="1:6" x14ac:dyDescent="0.3">
      <c r="A427" s="24" t="s">
        <v>54</v>
      </c>
      <c r="B427" s="24"/>
      <c r="C427" s="24"/>
      <c r="D427" s="24"/>
      <c r="E427" s="24"/>
      <c r="F427" s="25">
        <f t="shared" si="38"/>
        <v>0</v>
      </c>
    </row>
    <row r="428" spans="1:6" x14ac:dyDescent="0.3">
      <c r="A428" s="24" t="s">
        <v>55</v>
      </c>
      <c r="B428" s="24"/>
      <c r="C428" s="24"/>
      <c r="D428" s="24"/>
      <c r="E428" s="24"/>
      <c r="F428" s="25">
        <f t="shared" si="38"/>
        <v>0</v>
      </c>
    </row>
    <row r="429" spans="1:6" x14ac:dyDescent="0.3">
      <c r="A429" s="24" t="s">
        <v>56</v>
      </c>
      <c r="B429" s="24"/>
      <c r="C429" s="24"/>
      <c r="D429" s="24"/>
      <c r="E429" s="24"/>
      <c r="F429" s="25">
        <f t="shared" si="38"/>
        <v>0</v>
      </c>
    </row>
    <row r="430" spans="1:6" x14ac:dyDescent="0.3">
      <c r="A430" s="24" t="s">
        <v>57</v>
      </c>
      <c r="B430" s="24"/>
      <c r="C430" s="24"/>
      <c r="D430" s="24"/>
      <c r="E430" s="24"/>
      <c r="F430" s="25">
        <f t="shared" si="38"/>
        <v>0</v>
      </c>
    </row>
    <row r="431" spans="1:6" x14ac:dyDescent="0.3">
      <c r="A431" s="24" t="s">
        <v>58</v>
      </c>
      <c r="B431" s="24"/>
      <c r="C431" s="24"/>
      <c r="D431" s="24"/>
      <c r="E431" s="24"/>
      <c r="F431" s="25">
        <f t="shared" si="38"/>
        <v>0</v>
      </c>
    </row>
    <row r="432" spans="1:6" x14ac:dyDescent="0.3">
      <c r="A432" s="24" t="s">
        <v>59</v>
      </c>
      <c r="B432" s="24"/>
      <c r="C432" s="24"/>
      <c r="D432" s="24"/>
      <c r="E432" s="24"/>
      <c r="F432" s="25">
        <f t="shared" si="38"/>
        <v>0</v>
      </c>
    </row>
    <row r="433" spans="1:6" x14ac:dyDescent="0.3">
      <c r="A433" s="24" t="s">
        <v>60</v>
      </c>
      <c r="B433" s="24"/>
      <c r="C433" s="24"/>
      <c r="D433" s="24"/>
      <c r="E433" s="24"/>
      <c r="F433" s="25">
        <f t="shared" si="38"/>
        <v>0</v>
      </c>
    </row>
    <row r="434" spans="1:6" x14ac:dyDescent="0.3">
      <c r="A434" s="24" t="s">
        <v>60</v>
      </c>
      <c r="B434" s="24"/>
      <c r="C434" s="24"/>
      <c r="D434" s="24"/>
      <c r="E434" s="24"/>
      <c r="F434" s="25">
        <f t="shared" si="38"/>
        <v>0</v>
      </c>
    </row>
    <row r="435" spans="1:6" x14ac:dyDescent="0.3">
      <c r="A435" s="24" t="s">
        <v>61</v>
      </c>
      <c r="B435" s="24"/>
      <c r="C435" s="24"/>
      <c r="D435" s="24"/>
      <c r="E435" s="24"/>
      <c r="F435" s="25">
        <f t="shared" si="38"/>
        <v>0</v>
      </c>
    </row>
    <row r="436" spans="1:6" x14ac:dyDescent="0.3">
      <c r="A436" s="24"/>
      <c r="B436" s="24"/>
      <c r="C436" s="24"/>
      <c r="D436" s="24"/>
      <c r="E436" s="24"/>
      <c r="F436" s="25"/>
    </row>
    <row r="437" spans="1:6" ht="15.75" customHeight="1" x14ac:dyDescent="0.3">
      <c r="A437" s="26" t="s">
        <v>62</v>
      </c>
      <c r="B437" s="27"/>
      <c r="C437" s="27"/>
      <c r="D437" s="27"/>
      <c r="E437" s="27"/>
      <c r="F437" s="28">
        <f>SUM(F426:F436)</f>
        <v>0</v>
      </c>
    </row>
    <row r="440" spans="1:6" x14ac:dyDescent="0.3">
      <c r="A440" s="17" t="s">
        <v>43</v>
      </c>
    </row>
    <row r="441" spans="1:6" ht="30" customHeight="1" x14ac:dyDescent="0.3">
      <c r="A441" s="30" t="s">
        <v>47</v>
      </c>
      <c r="B441" s="30" t="s">
        <v>48</v>
      </c>
      <c r="C441" s="30" t="s">
        <v>49</v>
      </c>
      <c r="D441" s="30" t="s">
        <v>50</v>
      </c>
      <c r="E441" s="30" t="s">
        <v>51</v>
      </c>
      <c r="F441" s="30" t="s">
        <v>52</v>
      </c>
    </row>
    <row r="442" spans="1:6" x14ac:dyDescent="0.3">
      <c r="A442" s="24" t="s">
        <v>53</v>
      </c>
      <c r="B442" s="24"/>
      <c r="C442" s="24"/>
      <c r="D442" s="24"/>
      <c r="E442" s="24"/>
      <c r="F442" s="25">
        <f t="shared" ref="F442:F451" si="39">D442*E442</f>
        <v>0</v>
      </c>
    </row>
    <row r="443" spans="1:6" x14ac:dyDescent="0.3">
      <c r="A443" s="24" t="s">
        <v>54</v>
      </c>
      <c r="B443" s="24"/>
      <c r="C443" s="24"/>
      <c r="D443" s="24"/>
      <c r="E443" s="24"/>
      <c r="F443" s="25">
        <f t="shared" si="39"/>
        <v>0</v>
      </c>
    </row>
    <row r="444" spans="1:6" x14ac:dyDescent="0.3">
      <c r="A444" s="24" t="s">
        <v>55</v>
      </c>
      <c r="B444" s="24"/>
      <c r="C444" s="24"/>
      <c r="D444" s="24"/>
      <c r="E444" s="24"/>
      <c r="F444" s="25">
        <f t="shared" si="39"/>
        <v>0</v>
      </c>
    </row>
    <row r="445" spans="1:6" x14ac:dyDescent="0.3">
      <c r="A445" s="24" t="s">
        <v>56</v>
      </c>
      <c r="B445" s="24"/>
      <c r="C445" s="24"/>
      <c r="D445" s="24"/>
      <c r="E445" s="24"/>
      <c r="F445" s="25">
        <f t="shared" si="39"/>
        <v>0</v>
      </c>
    </row>
    <row r="446" spans="1:6" x14ac:dyDescent="0.3">
      <c r="A446" s="24" t="s">
        <v>57</v>
      </c>
      <c r="B446" s="24"/>
      <c r="C446" s="24"/>
      <c r="D446" s="24"/>
      <c r="E446" s="24"/>
      <c r="F446" s="25">
        <f t="shared" si="39"/>
        <v>0</v>
      </c>
    </row>
    <row r="447" spans="1:6" x14ac:dyDescent="0.3">
      <c r="A447" s="24" t="s">
        <v>58</v>
      </c>
      <c r="B447" s="24"/>
      <c r="C447" s="24"/>
      <c r="D447" s="24"/>
      <c r="E447" s="24"/>
      <c r="F447" s="25">
        <f t="shared" si="39"/>
        <v>0</v>
      </c>
    </row>
    <row r="448" spans="1:6" x14ac:dyDescent="0.3">
      <c r="A448" s="24" t="s">
        <v>59</v>
      </c>
      <c r="B448" s="24"/>
      <c r="C448" s="24"/>
      <c r="D448" s="24"/>
      <c r="E448" s="24"/>
      <c r="F448" s="25">
        <f t="shared" si="39"/>
        <v>0</v>
      </c>
    </row>
    <row r="449" spans="1:6" x14ac:dyDescent="0.3">
      <c r="A449" s="24" t="s">
        <v>60</v>
      </c>
      <c r="B449" s="24"/>
      <c r="C449" s="24"/>
      <c r="D449" s="24"/>
      <c r="E449" s="24"/>
      <c r="F449" s="25">
        <f t="shared" si="39"/>
        <v>0</v>
      </c>
    </row>
    <row r="450" spans="1:6" x14ac:dyDescent="0.3">
      <c r="A450" s="24" t="s">
        <v>60</v>
      </c>
      <c r="B450" s="24"/>
      <c r="C450" s="24"/>
      <c r="D450" s="24"/>
      <c r="E450" s="24"/>
      <c r="F450" s="25">
        <f t="shared" si="39"/>
        <v>0</v>
      </c>
    </row>
    <row r="451" spans="1:6" x14ac:dyDescent="0.3">
      <c r="A451" s="24" t="s">
        <v>61</v>
      </c>
      <c r="B451" s="24"/>
      <c r="C451" s="24"/>
      <c r="D451" s="24"/>
      <c r="E451" s="24"/>
      <c r="F451" s="25">
        <f t="shared" si="39"/>
        <v>0</v>
      </c>
    </row>
    <row r="452" spans="1:6" x14ac:dyDescent="0.3">
      <c r="A452" s="24"/>
      <c r="B452" s="24"/>
      <c r="C452" s="24"/>
      <c r="D452" s="24"/>
      <c r="E452" s="24"/>
      <c r="F452" s="25"/>
    </row>
    <row r="453" spans="1:6" ht="15.75" customHeight="1" x14ac:dyDescent="0.3">
      <c r="A453" s="26" t="s">
        <v>62</v>
      </c>
      <c r="B453" s="27"/>
      <c r="C453" s="27"/>
      <c r="D453" s="27"/>
      <c r="E453" s="27"/>
      <c r="F453" s="28">
        <f>SUM(F442:F452)</f>
        <v>0</v>
      </c>
    </row>
    <row r="456" spans="1:6" x14ac:dyDescent="0.3">
      <c r="A456" s="17" t="s">
        <v>44</v>
      </c>
    </row>
    <row r="457" spans="1:6" ht="30" customHeight="1" x14ac:dyDescent="0.3">
      <c r="A457" s="30" t="s">
        <v>47</v>
      </c>
      <c r="B457" s="30" t="s">
        <v>48</v>
      </c>
      <c r="C457" s="30" t="s">
        <v>49</v>
      </c>
      <c r="D457" s="30" t="s">
        <v>50</v>
      </c>
      <c r="E457" s="30" t="s">
        <v>51</v>
      </c>
      <c r="F457" s="30" t="s">
        <v>52</v>
      </c>
    </row>
    <row r="458" spans="1:6" x14ac:dyDescent="0.3">
      <c r="A458" s="24" t="s">
        <v>53</v>
      </c>
      <c r="B458" s="24"/>
      <c r="C458" s="24"/>
      <c r="D458" s="24"/>
      <c r="E458" s="24"/>
      <c r="F458" s="25">
        <f t="shared" ref="F458:F467" si="40">D458*E458</f>
        <v>0</v>
      </c>
    </row>
    <row r="459" spans="1:6" x14ac:dyDescent="0.3">
      <c r="A459" s="24" t="s">
        <v>54</v>
      </c>
      <c r="B459" s="24"/>
      <c r="C459" s="24"/>
      <c r="D459" s="24"/>
      <c r="E459" s="24"/>
      <c r="F459" s="25">
        <f t="shared" si="40"/>
        <v>0</v>
      </c>
    </row>
    <row r="460" spans="1:6" x14ac:dyDescent="0.3">
      <c r="A460" s="24" t="s">
        <v>55</v>
      </c>
      <c r="B460" s="24"/>
      <c r="C460" s="24"/>
      <c r="D460" s="24"/>
      <c r="E460" s="24"/>
      <c r="F460" s="25">
        <f t="shared" si="40"/>
        <v>0</v>
      </c>
    </row>
    <row r="461" spans="1:6" x14ac:dyDescent="0.3">
      <c r="A461" s="24" t="s">
        <v>56</v>
      </c>
      <c r="B461" s="24"/>
      <c r="C461" s="24"/>
      <c r="D461" s="24"/>
      <c r="E461" s="24"/>
      <c r="F461" s="25">
        <f t="shared" si="40"/>
        <v>0</v>
      </c>
    </row>
    <row r="462" spans="1:6" x14ac:dyDescent="0.3">
      <c r="A462" s="24" t="s">
        <v>57</v>
      </c>
      <c r="B462" s="24"/>
      <c r="C462" s="24"/>
      <c r="D462" s="24"/>
      <c r="E462" s="24"/>
      <c r="F462" s="25">
        <f t="shared" si="40"/>
        <v>0</v>
      </c>
    </row>
    <row r="463" spans="1:6" x14ac:dyDescent="0.3">
      <c r="A463" s="24" t="s">
        <v>58</v>
      </c>
      <c r="B463" s="24"/>
      <c r="C463" s="24"/>
      <c r="D463" s="24"/>
      <c r="E463" s="24"/>
      <c r="F463" s="25">
        <f t="shared" si="40"/>
        <v>0</v>
      </c>
    </row>
    <row r="464" spans="1:6" x14ac:dyDescent="0.3">
      <c r="A464" s="24" t="s">
        <v>59</v>
      </c>
      <c r="B464" s="24"/>
      <c r="C464" s="24"/>
      <c r="D464" s="24"/>
      <c r="E464" s="24"/>
      <c r="F464" s="25">
        <f t="shared" si="40"/>
        <v>0</v>
      </c>
    </row>
    <row r="465" spans="1:6" x14ac:dyDescent="0.3">
      <c r="A465" s="24" t="s">
        <v>60</v>
      </c>
      <c r="B465" s="24"/>
      <c r="C465" s="24"/>
      <c r="D465" s="24"/>
      <c r="E465" s="24"/>
      <c r="F465" s="25">
        <f t="shared" si="40"/>
        <v>0</v>
      </c>
    </row>
    <row r="466" spans="1:6" x14ac:dyDescent="0.3">
      <c r="A466" s="24" t="s">
        <v>60</v>
      </c>
      <c r="B466" s="24"/>
      <c r="C466" s="24"/>
      <c r="D466" s="24"/>
      <c r="E466" s="24"/>
      <c r="F466" s="25">
        <f t="shared" si="40"/>
        <v>0</v>
      </c>
    </row>
    <row r="467" spans="1:6" x14ac:dyDescent="0.3">
      <c r="A467" s="24" t="s">
        <v>61</v>
      </c>
      <c r="B467" s="24"/>
      <c r="C467" s="24"/>
      <c r="D467" s="24"/>
      <c r="E467" s="24"/>
      <c r="F467" s="25">
        <f t="shared" si="40"/>
        <v>0</v>
      </c>
    </row>
    <row r="468" spans="1:6" x14ac:dyDescent="0.3">
      <c r="A468" s="24"/>
      <c r="B468" s="24"/>
      <c r="C468" s="24"/>
      <c r="D468" s="24"/>
      <c r="E468" s="24"/>
      <c r="F468" s="25"/>
    </row>
    <row r="469" spans="1:6" ht="15.75" customHeight="1" x14ac:dyDescent="0.3">
      <c r="A469" s="26" t="s">
        <v>62</v>
      </c>
      <c r="B469" s="27"/>
      <c r="C469" s="27"/>
      <c r="D469" s="27"/>
      <c r="E469" s="27"/>
      <c r="F469" s="28">
        <f>SUM(F458:F468)</f>
        <v>0</v>
      </c>
    </row>
  </sheetData>
  <mergeCells count="1">
    <mergeCell ref="A3:F3"/>
  </mergeCells>
  <phoneticPr fontId="0" type="noConversion"/>
  <pageMargins left="0.70824477616257564" right="0" top="0.55131996710469411" bottom="0" header="0" footer="0"/>
  <pageSetup paperSize="9" scale="69" fitToHeight="8"/>
  <rowBreaks count="4" manualBreakCount="4">
    <brk id="52" max="16383" man="1"/>
    <brk id="117" max="16383" man="1"/>
    <brk id="181" max="16383" man="1"/>
    <brk id="4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Budget</vt:lpstr>
      <vt:lpstr>Marketing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cp:revision>0</cp:revision>
  <dcterms:created xsi:type="dcterms:W3CDTF">2006-09-16T00:00:00Z</dcterms:created>
  <dcterms:modified xsi:type="dcterms:W3CDTF">2026-04-02T02:58:49Z</dcterms:modified>
</cp:coreProperties>
</file>